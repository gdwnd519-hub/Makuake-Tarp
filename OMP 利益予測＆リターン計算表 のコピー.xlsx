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原価計算" sheetId="1" r:id="rId3"/>
    <sheet state="visible" name="定価計算表" sheetId="2" r:id="rId4"/>
    <sheet state="visible" name=" リターン計算表" sheetId="3" r:id="rId5"/>
    <sheet state="visible" name="事前集客計算表" sheetId="4" r:id="rId6"/>
    <sheet state="visible" name=" リターン計算表（広告費入）" sheetId="5" r:id="rId7"/>
    <sheet state="visible" name="（旧）利益予測" sheetId="6" r:id="rId8"/>
  </sheets>
  <definedNames/>
  <calcPr/>
</workbook>
</file>

<file path=xl/sharedStrings.xml><?xml version="1.0" encoding="utf-8"?>
<sst xmlns="http://schemas.openxmlformats.org/spreadsheetml/2006/main" count="335" uniqueCount="161">
  <si>
    <t>商品１</t>
  </si>
  <si>
    <t>商品代金/現地通貨</t>
  </si>
  <si>
    <t>ドル</t>
  </si>
  <si>
    <t>為替レート（円</t>
  </si>
  <si>
    <t>１個輸入送料見込み（円</t>
  </si>
  <si>
    <t>小計（円</t>
  </si>
  <si>
    <t>関税消費税（%</t>
  </si>
  <si>
    <t>予想仕入れ原価（円</t>
  </si>
  <si>
    <t>商品２</t>
  </si>
  <si>
    <t>商品３</t>
  </si>
  <si>
    <t>原価（税込み</t>
  </si>
  <si>
    <t>利益率目安表</t>
  </si>
  <si>
    <t>原価率30%</t>
  </si>
  <si>
    <t>原価率35%</t>
  </si>
  <si>
    <t>原価率40%</t>
  </si>
  <si>
    <t>原価率45%</t>
  </si>
  <si>
    <t>原価率50%</t>
  </si>
  <si>
    <t>原価率55%</t>
  </si>
  <si>
    <t>原価率60%</t>
  </si>
  <si>
    <t>原価率65%</t>
  </si>
  <si>
    <t>定価（税別）</t>
  </si>
  <si>
    <t>定価（税込）</t>
  </si>
  <si>
    <t>原価率</t>
  </si>
  <si>
    <t>税抜き定価計算機（10%）</t>
  </si>
  <si>
    <t>税込みを入力</t>
  </si>
  <si>
    <t>税別価格</t>
  </si>
  <si>
    <t>定価</t>
  </si>
  <si>
    <t>原価</t>
  </si>
  <si>
    <t>国内配送料</t>
  </si>
  <si>
    <t>PF手数料</t>
  </si>
  <si>
    <t>セット個数</t>
  </si>
  <si>
    <t>割引率</t>
  </si>
  <si>
    <t>販売金額</t>
  </si>
  <si>
    <t>リターン数</t>
  </si>
  <si>
    <t>売上</t>
  </si>
  <si>
    <t>利益</t>
  </si>
  <si>
    <t>１リターン利益</t>
  </si>
  <si>
    <t>利益率</t>
  </si>
  <si>
    <t>売上合計</t>
  </si>
  <si>
    <t>利益合計</t>
  </si>
  <si>
    <t>累計利益率</t>
  </si>
  <si>
    <t>リターン1</t>
  </si>
  <si>
    <t>リターン2</t>
  </si>
  <si>
    <t>リターン3</t>
  </si>
  <si>
    <t>リターン4</t>
  </si>
  <si>
    <t>リターン5</t>
  </si>
  <si>
    <t>リターン6</t>
  </si>
  <si>
    <t>リターン7</t>
  </si>
  <si>
    <t>リターン8</t>
  </si>
  <si>
    <t>リターン9</t>
  </si>
  <si>
    <t>リターン10</t>
  </si>
  <si>
    <t>リターン11</t>
  </si>
  <si>
    <t>合計</t>
  </si>
  <si>
    <t>事前広告費用</t>
  </si>
  <si>
    <t>広告費(1D)</t>
  </si>
  <si>
    <t>期間(D)</t>
  </si>
  <si>
    <t>広告費(合計)</t>
  </si>
  <si>
    <t>Instagram</t>
  </si>
  <si>
    <t>Twitter</t>
  </si>
  <si>
    <t>WEB広告(FB)</t>
  </si>
  <si>
    <t>プレスリリース</t>
  </si>
  <si>
    <t>費用合計</t>
  </si>
  <si>
    <t>リスト単価計算</t>
  </si>
  <si>
    <t>(¥)</t>
  </si>
  <si>
    <t>(人)</t>
  </si>
  <si>
    <t>想定リスト単価</t>
  </si>
  <si>
    <t>LINE登録人数</t>
  </si>
  <si>
    <t>ローンチ初動</t>
  </si>
  <si>
    <t>想定CVR</t>
  </si>
  <si>
    <t>購入者数</t>
  </si>
  <si>
    <t>商品単価</t>
  </si>
  <si>
    <t>初動売上</t>
  </si>
  <si>
    <t>広告費</t>
  </si>
  <si>
    <t>広告費入利益</t>
  </si>
  <si>
    <t>広告費入利益率</t>
  </si>
  <si>
    <t>合計利益</t>
  </si>
  <si>
    <t>プロジェクト名</t>
  </si>
  <si>
    <t>商品名</t>
  </si>
  <si>
    <t>商品名１</t>
  </si>
  <si>
    <t>商品名２</t>
  </si>
  <si>
    <t>商品代金（現地通貨</t>
  </si>
  <si>
    <t>１個送料見込み（円</t>
  </si>
  <si>
    <t>商品名３</t>
  </si>
  <si>
    <t>商品名４</t>
  </si>
  <si>
    <t>クラファン結果</t>
  </si>
  <si>
    <t>目標金額</t>
  </si>
  <si>
    <t>サイト名１</t>
  </si>
  <si>
    <t>サイト名２</t>
  </si>
  <si>
    <t>手数料</t>
  </si>
  <si>
    <t>広告費用</t>
  </si>
  <si>
    <t>依頼広告</t>
  </si>
  <si>
    <t>自社広告</t>
  </si>
  <si>
    <t>LP制作費</t>
  </si>
  <si>
    <t>写真撮影費</t>
  </si>
  <si>
    <t>動画撮影費</t>
  </si>
  <si>
    <t>その他費用1</t>
  </si>
  <si>
    <t>サンプル送料</t>
  </si>
  <si>
    <t>その他費用2</t>
  </si>
  <si>
    <t>什器作成</t>
  </si>
  <si>
    <t>その他費用3</t>
  </si>
  <si>
    <t>その他費用4</t>
  </si>
  <si>
    <t>入金額</t>
  </si>
  <si>
    <t>支援者（人数</t>
  </si>
  <si>
    <t>支援個数</t>
  </si>
  <si>
    <t>平均売上単価</t>
  </si>
  <si>
    <t>全体平均予想仕入額(円</t>
  </si>
  <si>
    <t>粗利（１個</t>
  </si>
  <si>
    <t>配送料（１個</t>
  </si>
  <si>
    <t>総売上</t>
  </si>
  <si>
    <t xml:space="preserve"> </t>
  </si>
  <si>
    <t>粗利</t>
  </si>
  <si>
    <t>平均粗利</t>
  </si>
  <si>
    <t>仕入れ費用（確定）</t>
  </si>
  <si>
    <t>商品代金</t>
  </si>
  <si>
    <t>現地通貨</t>
  </si>
  <si>
    <t>日本円</t>
  </si>
  <si>
    <t>仕入れ個数</t>
  </si>
  <si>
    <t>仕入れ価格</t>
  </si>
  <si>
    <t>為替レート 円（１列目に記入</t>
  </si>
  <si>
    <t>商品名５</t>
  </si>
  <si>
    <t>商品名６</t>
  </si>
  <si>
    <t>商品代金合計</t>
  </si>
  <si>
    <t>輸送費</t>
  </si>
  <si>
    <t>配送費用</t>
  </si>
  <si>
    <t>航空便</t>
  </si>
  <si>
    <t>船便</t>
  </si>
  <si>
    <t>国内配送</t>
  </si>
  <si>
    <t>通関手数料</t>
  </si>
  <si>
    <t>その他費用</t>
  </si>
  <si>
    <t>輸送費合計</t>
  </si>
  <si>
    <t>税金関係</t>
  </si>
  <si>
    <t>消費税</t>
  </si>
  <si>
    <t>関税</t>
  </si>
  <si>
    <t>その他税金</t>
  </si>
  <si>
    <t>税金関係合計</t>
  </si>
  <si>
    <t>費用</t>
  </si>
  <si>
    <t>サンプル代金</t>
  </si>
  <si>
    <t>その他費用合計</t>
  </si>
  <si>
    <t>仕入れ費用合計</t>
  </si>
  <si>
    <t>１商品</t>
  </si>
  <si>
    <t>定価設定</t>
  </si>
  <si>
    <t>原価率（税込み）</t>
  </si>
  <si>
    <t>税抜き定価 計算機 8%</t>
  </si>
  <si>
    <t>（税別）</t>
  </si>
  <si>
    <t>損益計算</t>
  </si>
  <si>
    <t>クラファン１</t>
  </si>
  <si>
    <t>テスト</t>
  </si>
  <si>
    <t>手数料 (%</t>
  </si>
  <si>
    <t>手数料(円</t>
  </si>
  <si>
    <t>送料(円</t>
  </si>
  <si>
    <t>広告費(CPA 円</t>
  </si>
  <si>
    <t>入金額(円</t>
  </si>
  <si>
    <t>粗利(円</t>
  </si>
  <si>
    <t>利益率(%</t>
  </si>
  <si>
    <t>定価割引率(%</t>
  </si>
  <si>
    <t>限定数</t>
  </si>
  <si>
    <t>定価(税込み</t>
  </si>
  <si>
    <t>クラファン２</t>
  </si>
  <si>
    <t>Amazon</t>
  </si>
  <si>
    <t>卸用</t>
  </si>
  <si>
    <t>掛け率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</si>
</sst>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¥-411]#,##0"/>
    <numFmt numFmtId="165" formatCode="0.0%"/>
    <numFmt numFmtId="166" formatCode="#,##0.0"/>
    <numFmt numFmtId="167" formatCode="&quot;¥&quot;#,##0"/>
    <numFmt numFmtId="168" formatCode="0.0"/>
  </numFmts>
  <fonts count="16">
    <font>
      <sz val="10.0"/>
      <color rgb="FF000000"/>
      <name val="Arial"/>
    </font>
    <font>
      <sz val="10.0"/>
    </font>
    <font>
      <sz val="10.0"/>
      <name val="HiraKakuPro-W3"/>
    </font>
    <font>
      <sz val="10.0"/>
      <color rgb="FF000000"/>
      <name val="HiraKakuPro-W3"/>
    </font>
    <font/>
    <font>
      <b/>
      <sz val="10.0"/>
      <color rgb="FF000000"/>
      <name val="HiraKakuPro-W3"/>
    </font>
    <font>
      <name val="HiraKakuPro-W3"/>
    </font>
    <font>
      <b/>
      <sz val="10.0"/>
      <name val="HiraKakuPro-W3"/>
    </font>
    <font>
      <b/>
    </font>
    <font>
      <b/>
      <sz val="14.0"/>
    </font>
    <font>
      <color rgb="FFD9D9D9"/>
    </font>
    <font>
      <name val="Arial"/>
    </font>
    <font>
      <color rgb="FFD9D9D9"/>
      <name val="Arial"/>
    </font>
    <font>
      <color rgb="FFCCCCCC"/>
    </font>
    <font>
      <sz val="12.0"/>
    </font>
    <font>
      <b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ck">
        <color rgb="FF4A86E8"/>
      </bottom>
    </border>
    <border>
      <bottom style="thin">
        <color rgb="FF000000"/>
      </bottom>
    </border>
    <border>
      <bottom style="medium">
        <color rgb="FFCC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6AA84F"/>
      </bottom>
    </border>
    <border>
      <bottom style="medium">
        <color rgb="FFF1C232"/>
      </bottom>
    </border>
    <border>
      <bottom style="medium">
        <color rgb="FF674EA7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1" numFmtId="3" xfId="0" applyAlignment="1" applyFont="1" applyNumberFormat="1">
      <alignment horizontal="right" vertical="center"/>
    </xf>
    <xf borderId="0" fillId="0" fontId="1" numFmtId="164" xfId="0" applyAlignment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1" fillId="0" fontId="3" numFmtId="3" xfId="0" applyAlignment="1" applyBorder="1" applyFont="1" applyNumberFormat="1">
      <alignment horizontal="right" readingOrder="0" vertical="center"/>
    </xf>
    <xf borderId="2" fillId="2" fontId="3" numFmtId="3" xfId="0" applyAlignment="1" applyBorder="1" applyFill="1" applyFont="1" applyNumberFormat="1">
      <alignment horizontal="center" readingOrder="0" vertical="center"/>
    </xf>
    <xf borderId="3" fillId="0" fontId="4" numFmtId="0" xfId="0" applyBorder="1" applyFont="1"/>
    <xf borderId="0" fillId="0" fontId="3" numFmtId="164" xfId="0" applyAlignment="1" applyFont="1" applyNumberFormat="1">
      <alignment horizontal="right" readingOrder="0" vertical="center"/>
    </xf>
    <xf borderId="0" fillId="0" fontId="3" numFmtId="0" xfId="0" applyAlignment="1" applyFont="1">
      <alignment horizontal="right" readingOrder="0" vertical="center"/>
    </xf>
    <xf borderId="1" fillId="2" fontId="5" numFmtId="0" xfId="0" applyAlignment="1" applyBorder="1" applyFont="1">
      <alignment horizontal="right" readingOrder="0" vertical="center"/>
    </xf>
    <xf borderId="1" fillId="0" fontId="3" numFmtId="4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horizontal="right" readingOrder="0" vertical="center"/>
    </xf>
    <xf borderId="0" fillId="0" fontId="3" numFmtId="10" xfId="0" applyAlignment="1" applyFont="1" applyNumberFormat="1">
      <alignment horizontal="right" readingOrder="0" vertical="center"/>
    </xf>
    <xf borderId="1" fillId="0" fontId="3" numFmtId="164" xfId="0" applyAlignment="1" applyBorder="1" applyFont="1" applyNumberFormat="1">
      <alignment horizontal="right" readingOrder="0" vertical="center"/>
    </xf>
    <xf borderId="2" fillId="0" fontId="3" numFmtId="164" xfId="0" applyAlignment="1" applyBorder="1" applyFont="1" applyNumberFormat="1">
      <alignment horizontal="right" readingOrder="0" vertical="center"/>
    </xf>
    <xf borderId="2" fillId="0" fontId="3" numFmtId="9" xfId="0" applyAlignment="1" applyBorder="1" applyFont="1" applyNumberFormat="1">
      <alignment horizontal="right" readingOrder="0" vertical="center"/>
    </xf>
    <xf borderId="3" fillId="0" fontId="3" numFmtId="3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horizontal="right" readingOrder="0" vertical="center"/>
    </xf>
    <xf borderId="0" fillId="0" fontId="3" numFmtId="3" xfId="0" applyAlignment="1" applyFont="1" applyNumberFormat="1">
      <alignment horizontal="right" readingOrder="0" vertical="center"/>
    </xf>
    <xf borderId="0" fillId="0" fontId="3" numFmtId="9" xfId="0" applyAlignment="1" applyFont="1" applyNumberFormat="1">
      <alignment horizontal="right" readingOrder="0" vertical="center"/>
    </xf>
    <xf borderId="0" fillId="0" fontId="2" numFmtId="3" xfId="0" applyAlignment="1" applyFont="1" applyNumberForma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6" numFmtId="0" xfId="0" applyAlignment="1" applyFont="1">
      <alignment readingOrder="0"/>
    </xf>
    <xf borderId="0" fillId="0" fontId="6" numFmtId="1" xfId="0" applyAlignment="1" applyFont="1" applyNumberFormat="1">
      <alignment readingOrder="0"/>
    </xf>
    <xf borderId="0" fillId="0" fontId="6" numFmtId="0" xfId="0" applyFont="1"/>
    <xf borderId="1" fillId="3" fontId="6" numFmtId="0" xfId="0" applyAlignment="1" applyBorder="1" applyFill="1" applyFont="1">
      <alignment readingOrder="0"/>
    </xf>
    <xf borderId="1" fillId="4" fontId="6" numFmtId="164" xfId="0" applyAlignment="1" applyBorder="1" applyFill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0" fillId="0" fontId="6" numFmtId="165" xfId="0" applyFont="1" applyNumberFormat="1"/>
    <xf borderId="0" fillId="0" fontId="6" numFmtId="1" xfId="0" applyFont="1" applyNumberFormat="1"/>
    <xf borderId="4" fillId="3" fontId="6" numFmtId="0" xfId="0" applyAlignment="1" applyBorder="1" applyFont="1">
      <alignment readingOrder="0"/>
    </xf>
    <xf borderId="3" fillId="3" fontId="6" numFmtId="0" xfId="0" applyAlignment="1" applyBorder="1" applyFont="1">
      <alignment readingOrder="0"/>
    </xf>
    <xf borderId="1" fillId="0" fontId="6" numFmtId="164" xfId="0" applyBorder="1" applyFont="1" applyNumberFormat="1"/>
    <xf borderId="1" fillId="0" fontId="6" numFmtId="10" xfId="0" applyAlignment="1" applyBorder="1" applyFont="1" applyNumberFormat="1">
      <alignment readingOrder="0"/>
    </xf>
    <xf borderId="5" fillId="3" fontId="6" numFmtId="0" xfId="0" applyAlignment="1" applyBorder="1" applyFont="1">
      <alignment readingOrder="0"/>
    </xf>
    <xf borderId="6" fillId="3" fontId="6" numFmtId="0" xfId="0" applyBorder="1" applyFont="1"/>
    <xf borderId="7" fillId="0" fontId="6" numFmtId="0" xfId="0" applyAlignment="1" applyBorder="1" applyFont="1">
      <alignment readingOrder="0"/>
    </xf>
    <xf borderId="8" fillId="0" fontId="6" numFmtId="0" xfId="0" applyAlignment="1" applyBorder="1" applyFont="1">
      <alignment horizontal="right" readingOrder="0"/>
    </xf>
    <xf borderId="1" fillId="0" fontId="3" numFmtId="10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right" vertical="center"/>
    </xf>
    <xf borderId="0" fillId="0" fontId="6" numFmtId="9" xfId="0" applyAlignment="1" applyFont="1" applyNumberFormat="1">
      <alignment horizontal="right"/>
    </xf>
    <xf borderId="1" fillId="2" fontId="2" numFmtId="0" xfId="0" applyAlignment="1" applyBorder="1" applyFont="1">
      <alignment horizontal="right" vertical="center"/>
    </xf>
    <xf borderId="1" fillId="2" fontId="3" numFmtId="3" xfId="0" applyAlignment="1" applyBorder="1" applyFont="1" applyNumberFormat="1">
      <alignment horizontal="right" readingOrder="0" vertical="center"/>
    </xf>
    <xf borderId="1" fillId="2" fontId="3" numFmtId="0" xfId="0" applyAlignment="1" applyBorder="1" applyFont="1">
      <alignment horizontal="right" readingOrder="0" vertical="center"/>
    </xf>
    <xf borderId="1" fillId="2" fontId="3" numFmtId="164" xfId="0" applyAlignment="1" applyBorder="1" applyFont="1" applyNumberFormat="1">
      <alignment horizontal="right" readingOrder="0" vertical="center"/>
    </xf>
    <xf borderId="9" fillId="2" fontId="3" numFmtId="0" xfId="0" applyAlignment="1" applyBorder="1" applyFont="1">
      <alignment horizontal="right" readingOrder="0" vertical="center"/>
    </xf>
    <xf borderId="1" fillId="0" fontId="3" numFmtId="9" xfId="0" applyAlignment="1" applyBorder="1" applyFont="1" applyNumberFormat="1">
      <alignment horizontal="right" readingOrder="0" vertical="center"/>
    </xf>
    <xf borderId="9" fillId="0" fontId="3" numFmtId="10" xfId="0" applyAlignment="1" applyBorder="1" applyFont="1" applyNumberFormat="1">
      <alignment horizontal="right" readingOrder="0" vertical="center"/>
    </xf>
    <xf borderId="1" fillId="2" fontId="7" numFmtId="0" xfId="0" applyAlignment="1" applyBorder="1" applyFont="1">
      <alignment horizontal="right" readingOrder="0" vertical="center"/>
    </xf>
    <xf borderId="1" fillId="0" fontId="2" numFmtId="3" xfId="0" applyAlignment="1" applyBorder="1" applyFont="1" applyNumberFormat="1">
      <alignment horizontal="right" vertical="center"/>
    </xf>
    <xf borderId="1" fillId="0" fontId="2" numFmtId="164" xfId="0" applyAlignment="1" applyBorder="1" applyFont="1" applyNumberFormat="1">
      <alignment horizontal="right" vertical="center"/>
    </xf>
    <xf borderId="1" fillId="2" fontId="2" numFmtId="0" xfId="0" applyAlignment="1" applyBorder="1" applyFont="1">
      <alignment horizontal="right" readingOrder="0" vertical="center"/>
    </xf>
    <xf borderId="1" fillId="2" fontId="2" numFmtId="3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3" xfId="0" applyAlignment="1" applyBorder="1" applyFont="1" applyNumberFormat="1">
      <alignment horizontal="right"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2" numFmtId="9" xfId="0" applyAlignment="1" applyBorder="1" applyFont="1" applyNumberFormat="1">
      <alignment horizontal="right" readingOrder="0" vertical="center"/>
    </xf>
    <xf borderId="1" fillId="0" fontId="2" numFmtId="166" xfId="0" applyAlignment="1" applyBorder="1" applyFont="1" applyNumberFormat="1">
      <alignment horizontal="right" vertical="center"/>
    </xf>
    <xf borderId="1" fillId="3" fontId="2" numFmtId="0" xfId="0" applyAlignment="1" applyBorder="1" applyFont="1">
      <alignment horizontal="right" readingOrder="0" vertical="center"/>
    </xf>
    <xf borderId="5" fillId="0" fontId="2" numFmtId="0" xfId="0" applyAlignment="1" applyBorder="1" applyFont="1">
      <alignment horizontal="right" vertical="center"/>
    </xf>
    <xf borderId="10" fillId="0" fontId="2" numFmtId="0" xfId="0" applyAlignment="1" applyBorder="1" applyFont="1">
      <alignment horizontal="right" vertical="center"/>
    </xf>
    <xf borderId="6" fillId="0" fontId="2" numFmtId="0" xfId="0" applyAlignment="1" applyBorder="1" applyFont="1">
      <alignment horizontal="right" vertical="center"/>
    </xf>
    <xf borderId="3" fillId="2" fontId="2" numFmtId="0" xfId="0" applyAlignment="1" applyBorder="1" applyFont="1">
      <alignment horizontal="right" readingOrder="0" vertical="center"/>
    </xf>
    <xf borderId="0" fillId="2" fontId="2" numFmtId="0" xfId="0" applyAlignment="1" applyFont="1">
      <alignment horizontal="right" vertical="center"/>
    </xf>
    <xf borderId="3" fillId="0" fontId="2" numFmtId="164" xfId="0" applyAlignment="1" applyBorder="1" applyFont="1" applyNumberFormat="1">
      <alignment horizontal="right" vertical="center"/>
    </xf>
    <xf borderId="1" fillId="0" fontId="2" numFmtId="10" xfId="0" applyAlignment="1" applyBorder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readingOrder="0" vertical="center"/>
    </xf>
    <xf borderId="3" fillId="0" fontId="2" numFmtId="0" xfId="0" applyAlignment="1" applyBorder="1" applyFont="1">
      <alignment horizontal="right" vertical="center"/>
    </xf>
    <xf borderId="0" fillId="0" fontId="8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11" fillId="0" fontId="4" numFmtId="0" xfId="0" applyBorder="1" applyFont="1"/>
    <xf borderId="0" fillId="0" fontId="8" numFmtId="0" xfId="0" applyAlignment="1" applyFont="1">
      <alignment horizontal="left" readingOrder="0"/>
    </xf>
    <xf borderId="12" fillId="0" fontId="4" numFmtId="0" xfId="0" applyBorder="1" applyFont="1"/>
    <xf borderId="0" fillId="0" fontId="4" numFmtId="3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4" numFmtId="9" xfId="0" applyAlignment="1" applyFont="1" applyNumberFormat="1">
      <alignment readingOrder="0"/>
    </xf>
    <xf borderId="0" fillId="0" fontId="4" numFmtId="3" xfId="0" applyFont="1" applyNumberFormat="1"/>
    <xf borderId="12" fillId="0" fontId="8" numFmtId="0" xfId="0" applyBorder="1" applyFont="1"/>
    <xf borderId="0" fillId="0" fontId="4" numFmtId="2" xfId="0" applyFont="1" applyNumberFormat="1"/>
    <xf borderId="0" fillId="0" fontId="8" numFmtId="0" xfId="0" applyFont="1"/>
    <xf borderId="0" fillId="0" fontId="9" numFmtId="0" xfId="0" applyAlignment="1" applyFont="1">
      <alignment readingOrder="0"/>
    </xf>
    <xf borderId="13" fillId="0" fontId="4" numFmtId="0" xfId="0" applyBorder="1" applyFont="1"/>
    <xf borderId="0" fillId="0" fontId="8" numFmtId="0" xfId="0" applyAlignment="1" applyFont="1">
      <alignment readingOrder="0"/>
    </xf>
    <xf borderId="12" fillId="0" fontId="4" numFmtId="0" xfId="0" applyAlignment="1" applyBorder="1" applyFont="1">
      <alignment readingOrder="0"/>
    </xf>
    <xf borderId="0" fillId="0" fontId="4" numFmtId="0" xfId="0" applyAlignment="1" applyFont="1">
      <alignment readingOrder="0" vertical="top"/>
    </xf>
    <xf borderId="12" fillId="0" fontId="4" numFmtId="3" xfId="0" applyBorder="1" applyFont="1" applyNumberFormat="1"/>
    <xf borderId="5" fillId="0" fontId="4" numFmtId="0" xfId="0" applyAlignment="1" applyBorder="1" applyFont="1">
      <alignment readingOrder="0" vertical="top"/>
    </xf>
    <xf borderId="10" fillId="0" fontId="4" numFmtId="0" xfId="0" applyAlignment="1" applyBorder="1" applyFont="1">
      <alignment readingOrder="0"/>
    </xf>
    <xf borderId="6" fillId="0" fontId="4" numFmtId="3" xfId="0" applyBorder="1" applyFont="1" applyNumberFormat="1"/>
    <xf borderId="7" fillId="0" fontId="4" numFmtId="0" xfId="0" applyBorder="1" applyFont="1"/>
    <xf borderId="8" fillId="0" fontId="4" numFmtId="2" xfId="0" applyAlignment="1" applyBorder="1" applyFont="1" applyNumberFormat="1">
      <alignment readingOrder="0"/>
    </xf>
    <xf borderId="0" fillId="0" fontId="4" numFmtId="10" xfId="0" applyFont="1" applyNumberFormat="1"/>
    <xf borderId="8" fillId="0" fontId="4" numFmtId="10" xfId="0" applyBorder="1" applyFont="1" applyNumberFormat="1"/>
    <xf borderId="14" fillId="0" fontId="4" numFmtId="0" xfId="0" applyBorder="1" applyFont="1"/>
    <xf borderId="15" fillId="0" fontId="4" numFmtId="3" xfId="0" applyBorder="1" applyFont="1" applyNumberFormat="1"/>
    <xf borderId="16" fillId="0" fontId="4" numFmtId="0" xfId="0" applyBorder="1" applyFont="1"/>
    <xf borderId="0" fillId="0" fontId="10" numFmtId="0" xfId="0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0" fontId="12" numFmtId="0" xfId="0" applyAlignment="1" applyFont="1">
      <alignment horizontal="right" vertical="bottom"/>
    </xf>
    <xf borderId="0" fillId="0" fontId="13" numFmtId="0" xfId="0" applyAlignment="1" applyFont="1">
      <alignment readingOrder="0"/>
    </xf>
    <xf borderId="0" fillId="0" fontId="10" numFmtId="0" xfId="0" applyAlignment="1" applyFont="1">
      <alignment readingOrder="0"/>
    </xf>
    <xf borderId="12" fillId="0" fontId="4" numFmtId="168" xfId="0" applyBorder="1" applyFont="1" applyNumberFormat="1"/>
    <xf borderId="17" fillId="0" fontId="4" numFmtId="0" xfId="0" applyBorder="1" applyFont="1"/>
    <xf borderId="0" fillId="0" fontId="14" numFmtId="0" xfId="0" applyAlignment="1" applyFont="1">
      <alignment readingOrder="0" vertical="top"/>
    </xf>
    <xf borderId="0" fillId="0" fontId="4" numFmtId="1" xfId="0" applyAlignment="1" applyFont="1" applyNumberFormat="1">
      <alignment readingOrder="0"/>
    </xf>
    <xf borderId="0" fillId="0" fontId="4" numFmtId="1" xfId="0" applyFont="1" applyNumberFormat="1"/>
    <xf borderId="0" fillId="0" fontId="4" numFmtId="165" xfId="0" applyFont="1" applyNumberFormat="1"/>
    <xf borderId="1" fillId="0" fontId="4" numFmtId="0" xfId="0" applyAlignment="1" applyBorder="1" applyFont="1">
      <alignment readingOrder="0"/>
    </xf>
    <xf borderId="0" fillId="0" fontId="4" numFmtId="168" xfId="0" applyFont="1" applyNumberFormat="1"/>
    <xf borderId="18" fillId="0" fontId="4" numFmtId="0" xfId="0" applyBorder="1" applyFont="1"/>
    <xf borderId="0" fillId="0" fontId="4" numFmtId="0" xfId="0" applyFont="1"/>
    <xf borderId="0" fillId="0" fontId="4" numFmtId="10" xfId="0" applyAlignment="1" applyFont="1" applyNumberFormat="1">
      <alignment readingOrder="0"/>
    </xf>
    <xf borderId="10" fillId="0" fontId="4" numFmtId="0" xfId="0" applyBorder="1" applyFont="1"/>
    <xf borderId="0" fillId="0" fontId="15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7.5"/>
    <col customWidth="1" min="3" max="3" width="17.25"/>
    <col customWidth="1" min="4" max="4" width="12.13"/>
    <col customWidth="1" min="5" max="5" width="9.5"/>
    <col customWidth="1" min="6" max="6" width="14.63"/>
    <col customWidth="1" min="7" max="11" width="12.63"/>
    <col customWidth="1" min="12" max="12" width="13.0"/>
    <col customWidth="1" min="13" max="25" width="14.63"/>
  </cols>
  <sheetData>
    <row r="1" ht="18.0" customHeight="1">
      <c r="A1" s="1"/>
      <c r="B1" s="2"/>
      <c r="C1" s="1"/>
      <c r="D1" s="3"/>
      <c r="E1" s="1"/>
      <c r="F1" s="1"/>
      <c r="G1" s="1"/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0" customHeight="1">
      <c r="A2" s="5"/>
      <c r="B2" s="6" t="s">
        <v>0</v>
      </c>
      <c r="C2" s="7"/>
      <c r="D2" s="8"/>
      <c r="E2" s="9"/>
      <c r="F2" s="9"/>
      <c r="G2" s="9"/>
      <c r="H2" s="9"/>
      <c r="I2" s="9"/>
      <c r="J2" s="9"/>
      <c r="K2" s="9"/>
      <c r="L2" s="9"/>
      <c r="M2" s="4"/>
      <c r="N2" s="4"/>
      <c r="O2" s="4"/>
      <c r="P2" s="4"/>
      <c r="Q2" s="4"/>
      <c r="R2" s="4"/>
      <c r="S2" s="4"/>
      <c r="T2" s="4"/>
      <c r="U2" s="4"/>
      <c r="V2" s="4"/>
    </row>
    <row r="3" ht="18.0" customHeight="1">
      <c r="A3" s="10" t="s">
        <v>1</v>
      </c>
      <c r="B3" s="11">
        <v>33.0</v>
      </c>
      <c r="C3" s="12" t="s">
        <v>2</v>
      </c>
      <c r="D3" s="8"/>
      <c r="E3" s="9"/>
      <c r="F3" s="8"/>
      <c r="G3" s="8"/>
      <c r="H3" s="8"/>
      <c r="I3" s="13"/>
      <c r="J3" s="8"/>
      <c r="K3" s="8"/>
      <c r="L3" s="1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8.0" customHeight="1">
      <c r="A4" s="10" t="s">
        <v>3</v>
      </c>
      <c r="B4" s="5">
        <v>125.0</v>
      </c>
      <c r="C4" s="14">
        <f>B3*B4</f>
        <v>4125</v>
      </c>
      <c r="D4" s="8"/>
      <c r="E4" s="9"/>
      <c r="F4" s="8"/>
      <c r="G4" s="8"/>
      <c r="H4" s="8"/>
      <c r="I4" s="13"/>
      <c r="J4" s="8"/>
      <c r="K4" s="8"/>
      <c r="L4" s="1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0" customHeight="1">
      <c r="A5" s="10" t="s">
        <v>4</v>
      </c>
      <c r="B5" s="5">
        <v>600.0</v>
      </c>
      <c r="C5" s="14">
        <f>C4+B5</f>
        <v>4725</v>
      </c>
      <c r="D5" s="8"/>
      <c r="E5" s="9"/>
      <c r="F5" s="8"/>
      <c r="G5" s="8"/>
      <c r="H5" s="8"/>
      <c r="I5" s="13"/>
      <c r="J5" s="8"/>
      <c r="K5" s="8"/>
      <c r="L5" s="1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0" customHeight="1">
      <c r="A6" s="10" t="s">
        <v>5</v>
      </c>
      <c r="B6" s="15">
        <f>C5</f>
        <v>4725</v>
      </c>
      <c r="C6" s="7"/>
      <c r="D6" s="8"/>
      <c r="E6" s="9"/>
      <c r="F6" s="8"/>
      <c r="G6" s="8"/>
      <c r="H6" s="8"/>
      <c r="I6" s="13"/>
      <c r="J6" s="8"/>
      <c r="K6" s="8"/>
      <c r="L6" s="1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0" customHeight="1">
      <c r="A7" s="10" t="s">
        <v>6</v>
      </c>
      <c r="B7" s="16">
        <v>0.15</v>
      </c>
      <c r="C7" s="17"/>
      <c r="D7" s="8"/>
      <c r="E7" s="9"/>
      <c r="F7" s="8"/>
      <c r="G7" s="8"/>
      <c r="H7" s="8"/>
      <c r="I7" s="13"/>
      <c r="J7" s="8"/>
      <c r="K7" s="8"/>
      <c r="L7" s="1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0" customHeight="1">
      <c r="A8" s="10" t="s">
        <v>7</v>
      </c>
      <c r="B8" s="15">
        <f>B6+(B6*B7)</f>
        <v>5433.75</v>
      </c>
      <c r="C8" s="7"/>
      <c r="D8" s="8"/>
      <c r="E8" s="9"/>
      <c r="F8" s="8"/>
      <c r="G8" s="8"/>
      <c r="H8" s="8"/>
      <c r="I8" s="13"/>
      <c r="J8" s="8"/>
      <c r="K8" s="8"/>
      <c r="L8" s="1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0" customHeight="1">
      <c r="A9" s="18"/>
      <c r="B9" s="19"/>
      <c r="C9" s="20"/>
      <c r="D9" s="8"/>
      <c r="E9" s="9"/>
      <c r="F9" s="8"/>
      <c r="G9" s="8"/>
      <c r="H9" s="8"/>
      <c r="I9" s="13"/>
      <c r="J9" s="8"/>
      <c r="K9" s="8"/>
      <c r="L9" s="1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0" customHeight="1">
      <c r="A10" s="5"/>
      <c r="B10" s="6" t="s">
        <v>8</v>
      </c>
      <c r="C10" s="7"/>
      <c r="D10" s="8"/>
      <c r="E10" s="9"/>
      <c r="F10" s="9"/>
      <c r="G10" s="9"/>
      <c r="H10" s="9"/>
      <c r="I10" s="9"/>
      <c r="J10" s="9"/>
      <c r="K10" s="9"/>
      <c r="L10" s="9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8.0" customHeight="1">
      <c r="A11" s="10" t="s">
        <v>1</v>
      </c>
      <c r="B11" s="11">
        <v>50.0</v>
      </c>
      <c r="C11" s="12" t="s">
        <v>2</v>
      </c>
      <c r="D11" s="8"/>
      <c r="E11" s="9"/>
      <c r="F11" s="8"/>
      <c r="G11" s="8"/>
      <c r="H11" s="8"/>
      <c r="I11" s="13"/>
      <c r="J11" s="8"/>
      <c r="K11" s="8"/>
      <c r="L11" s="1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8.0" customHeight="1">
      <c r="A12" s="10" t="s">
        <v>3</v>
      </c>
      <c r="B12" s="5">
        <v>125.0</v>
      </c>
      <c r="C12" s="14">
        <f>B11*B12</f>
        <v>6250</v>
      </c>
      <c r="D12" s="8"/>
      <c r="E12" s="9"/>
      <c r="F12" s="8"/>
      <c r="G12" s="8"/>
      <c r="H12" s="8"/>
      <c r="I12" s="13"/>
      <c r="J12" s="8"/>
      <c r="K12" s="8"/>
      <c r="L12" s="1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8.0" customHeight="1">
      <c r="A13" s="10" t="s">
        <v>4</v>
      </c>
      <c r="B13" s="5">
        <v>500.0</v>
      </c>
      <c r="C13" s="14">
        <f>C12+B13</f>
        <v>6750</v>
      </c>
      <c r="D13" s="8"/>
      <c r="E13" s="9"/>
      <c r="F13" s="8"/>
      <c r="G13" s="8"/>
      <c r="H13" s="8"/>
      <c r="I13" s="13"/>
      <c r="J13" s="8"/>
      <c r="K13" s="8"/>
      <c r="L13" s="1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8.0" customHeight="1">
      <c r="A14" s="10" t="s">
        <v>5</v>
      </c>
      <c r="B14" s="15">
        <f>C13</f>
        <v>6750</v>
      </c>
      <c r="C14" s="7"/>
      <c r="D14" s="8"/>
      <c r="E14" s="9"/>
      <c r="F14" s="8"/>
      <c r="G14" s="8"/>
      <c r="H14" s="8"/>
      <c r="I14" s="13"/>
      <c r="J14" s="8"/>
      <c r="K14" s="8"/>
      <c r="L14" s="1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8.0" customHeight="1">
      <c r="A15" s="10" t="s">
        <v>6</v>
      </c>
      <c r="B15" s="16">
        <v>0.15</v>
      </c>
      <c r="C15" s="17"/>
      <c r="D15" s="8"/>
      <c r="E15" s="9"/>
      <c r="F15" s="8"/>
      <c r="G15" s="8"/>
      <c r="H15" s="8"/>
      <c r="I15" s="13"/>
      <c r="J15" s="8"/>
      <c r="K15" s="8"/>
      <c r="L15" s="1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8.0" customHeight="1">
      <c r="A16" s="10" t="s">
        <v>7</v>
      </c>
      <c r="B16" s="15">
        <f>B14+(B14*B15)</f>
        <v>7762.5</v>
      </c>
      <c r="C16" s="7"/>
      <c r="D16" s="8"/>
      <c r="E16" s="9"/>
      <c r="F16" s="8"/>
      <c r="G16" s="8"/>
      <c r="H16" s="8"/>
      <c r="I16" s="13"/>
      <c r="J16" s="8"/>
      <c r="K16" s="8"/>
      <c r="L16" s="1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2.5" customHeight="1">
      <c r="A17" s="4"/>
      <c r="B17" s="21"/>
      <c r="C17" s="4"/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8.0" customHeight="1">
      <c r="A18" s="5"/>
      <c r="B18" s="6" t="s">
        <v>9</v>
      </c>
      <c r="C18" s="7"/>
      <c r="D18" s="8"/>
      <c r="E18" s="9"/>
      <c r="F18" s="9"/>
      <c r="G18" s="9"/>
      <c r="H18" s="9"/>
      <c r="I18" s="9"/>
      <c r="J18" s="9"/>
      <c r="K18" s="9"/>
      <c r="L18" s="9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8.0" customHeight="1">
      <c r="A19" s="10" t="s">
        <v>1</v>
      </c>
      <c r="B19" s="11">
        <v>100.0</v>
      </c>
      <c r="C19" s="12" t="s">
        <v>2</v>
      </c>
      <c r="D19" s="8"/>
      <c r="E19" s="9"/>
      <c r="F19" s="8"/>
      <c r="G19" s="8"/>
      <c r="H19" s="8"/>
      <c r="I19" s="13"/>
      <c r="J19" s="8"/>
      <c r="K19" s="8"/>
      <c r="L19" s="1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8.0" customHeight="1">
      <c r="A20" s="10" t="s">
        <v>3</v>
      </c>
      <c r="B20" s="5">
        <v>125.0</v>
      </c>
      <c r="C20" s="14">
        <f>B19*B20</f>
        <v>12500</v>
      </c>
      <c r="D20" s="8"/>
      <c r="E20" s="9"/>
      <c r="F20" s="8"/>
      <c r="G20" s="8"/>
      <c r="H20" s="8"/>
      <c r="I20" s="13"/>
      <c r="J20" s="8"/>
      <c r="K20" s="8"/>
      <c r="L20" s="1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8.0" customHeight="1">
      <c r="A21" s="10" t="s">
        <v>4</v>
      </c>
      <c r="B21" s="5">
        <v>1000.0</v>
      </c>
      <c r="C21" s="14">
        <f>C20+B21</f>
        <v>13500</v>
      </c>
      <c r="D21" s="8"/>
      <c r="E21" s="9"/>
      <c r="F21" s="8"/>
      <c r="G21" s="8"/>
      <c r="H21" s="8"/>
      <c r="I21" s="13"/>
      <c r="J21" s="8"/>
      <c r="K21" s="8"/>
      <c r="L21" s="1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8.0" customHeight="1">
      <c r="A22" s="10" t="s">
        <v>5</v>
      </c>
      <c r="B22" s="15">
        <f>C21</f>
        <v>13500</v>
      </c>
      <c r="C22" s="7"/>
      <c r="D22" s="8"/>
      <c r="E22" s="9"/>
      <c r="F22" s="8"/>
      <c r="G22" s="8"/>
      <c r="H22" s="8"/>
      <c r="I22" s="13"/>
      <c r="J22" s="8"/>
      <c r="K22" s="8"/>
      <c r="L22" s="1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8.0" customHeight="1">
      <c r="A23" s="10" t="s">
        <v>6</v>
      </c>
      <c r="B23" s="16">
        <v>0.15</v>
      </c>
      <c r="C23" s="17"/>
      <c r="D23" s="8"/>
      <c r="E23" s="9"/>
      <c r="F23" s="8"/>
      <c r="G23" s="8"/>
      <c r="H23" s="8"/>
      <c r="I23" s="13"/>
      <c r="J23" s="8"/>
      <c r="K23" s="8"/>
      <c r="L23" s="1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8.0" customHeight="1">
      <c r="A24" s="10" t="s">
        <v>7</v>
      </c>
      <c r="B24" s="15">
        <f>B22+(B22*B23)</f>
        <v>15525</v>
      </c>
      <c r="C24" s="7"/>
      <c r="D24" s="8"/>
      <c r="E24" s="9"/>
      <c r="F24" s="8"/>
      <c r="G24" s="8"/>
      <c r="H24" s="8"/>
      <c r="I24" s="13"/>
      <c r="J24" s="8"/>
      <c r="K24" s="8"/>
      <c r="L24" s="1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2.5" customHeight="1">
      <c r="A25" s="4"/>
      <c r="B25" s="21"/>
      <c r="C25" s="4"/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2.5" customHeight="1">
      <c r="A26" s="4"/>
      <c r="B26" s="21"/>
      <c r="C26" s="4"/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2.5" customHeight="1">
      <c r="A27" s="4"/>
      <c r="B27" s="21"/>
      <c r="C27" s="4"/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2.5" customHeight="1">
      <c r="A28" s="4"/>
      <c r="B28" s="21"/>
      <c r="C28" s="4"/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2.5" customHeight="1">
      <c r="A29" s="4"/>
      <c r="B29" s="21"/>
      <c r="C29" s="4"/>
      <c r="D29" s="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2.5" customHeight="1">
      <c r="A30" s="4"/>
      <c r="B30" s="21"/>
      <c r="C30" s="4"/>
      <c r="D30" s="2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2.5" customHeight="1">
      <c r="A31" s="4"/>
      <c r="B31" s="21"/>
      <c r="C31" s="4"/>
      <c r="D31" s="2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2.5" customHeight="1">
      <c r="A32" s="4"/>
      <c r="B32" s="21"/>
      <c r="C32" s="4"/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2.5" customHeight="1">
      <c r="A33" s="4"/>
      <c r="B33" s="21"/>
      <c r="C33" s="4"/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2.5" customHeight="1">
      <c r="A34" s="4"/>
      <c r="B34" s="21"/>
      <c r="C34" s="4"/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2.5" customHeight="1">
      <c r="A35" s="4"/>
      <c r="B35" s="21"/>
      <c r="C35" s="4"/>
      <c r="D35" s="2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2.5" customHeight="1">
      <c r="A36" s="4"/>
      <c r="B36" s="21"/>
      <c r="C36" s="4"/>
      <c r="D36" s="2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2.5" customHeight="1">
      <c r="A37" s="4"/>
      <c r="B37" s="21"/>
      <c r="C37" s="4"/>
      <c r="D37" s="2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2.5" customHeight="1">
      <c r="A38" s="4"/>
      <c r="B38" s="21"/>
      <c r="C38" s="4"/>
      <c r="D38" s="2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2.5" customHeight="1">
      <c r="A39" s="4"/>
      <c r="B39" s="21"/>
      <c r="C39" s="4"/>
      <c r="D39" s="2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2.5" customHeight="1">
      <c r="A40" s="4"/>
      <c r="B40" s="21"/>
      <c r="C40" s="4"/>
      <c r="D40" s="2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2.5" customHeight="1">
      <c r="A41" s="4"/>
      <c r="B41" s="21"/>
      <c r="C41" s="4"/>
      <c r="D41" s="2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2.5" customHeight="1">
      <c r="A42" s="4"/>
      <c r="B42" s="21"/>
      <c r="C42" s="4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2.5" customHeight="1">
      <c r="A43" s="4"/>
      <c r="B43" s="21"/>
      <c r="C43" s="4"/>
      <c r="D43" s="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2.5" customHeight="1">
      <c r="A44" s="4"/>
      <c r="B44" s="21"/>
      <c r="C44" s="4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2.5" customHeight="1">
      <c r="A45" s="4"/>
      <c r="B45" s="21"/>
      <c r="C45" s="4"/>
      <c r="D45" s="2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2.5" customHeight="1">
      <c r="A46" s="4"/>
      <c r="B46" s="21"/>
      <c r="C46" s="4"/>
      <c r="D46" s="2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2.5" customHeight="1">
      <c r="A47" s="4"/>
      <c r="B47" s="21"/>
      <c r="C47" s="4"/>
      <c r="D47" s="2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2.5" customHeight="1">
      <c r="A48" s="4"/>
      <c r="B48" s="21"/>
      <c r="C48" s="4"/>
      <c r="D48" s="2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2.5" customHeight="1">
      <c r="A49" s="4"/>
      <c r="B49" s="21"/>
      <c r="C49" s="4"/>
      <c r="D49" s="2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2.5" customHeight="1">
      <c r="A50" s="4"/>
      <c r="B50" s="21"/>
      <c r="C50" s="4"/>
      <c r="D50" s="2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2.5" customHeight="1">
      <c r="A51" s="4"/>
      <c r="B51" s="21"/>
      <c r="C51" s="4"/>
      <c r="D51" s="2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2.5" customHeight="1">
      <c r="A52" s="4"/>
      <c r="B52" s="21"/>
      <c r="C52" s="4"/>
      <c r="D52" s="2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2.5" customHeight="1">
      <c r="A53" s="4"/>
      <c r="B53" s="21"/>
      <c r="C53" s="4"/>
      <c r="D53" s="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2.5" customHeight="1">
      <c r="A54" s="4"/>
      <c r="B54" s="21"/>
      <c r="C54" s="4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2.5" customHeight="1">
      <c r="A55" s="4"/>
      <c r="B55" s="21"/>
      <c r="C55" s="4"/>
      <c r="D55" s="2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2.5" customHeight="1">
      <c r="A56" s="4"/>
      <c r="B56" s="21"/>
      <c r="C56" s="4"/>
      <c r="D56" s="2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2.5" customHeight="1">
      <c r="A57" s="4"/>
      <c r="B57" s="21"/>
      <c r="C57" s="4"/>
      <c r="D57" s="2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2.5" customHeight="1">
      <c r="A58" s="4"/>
      <c r="B58" s="21"/>
      <c r="C58" s="4"/>
      <c r="D58" s="2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2.5" customHeight="1">
      <c r="A59" s="4"/>
      <c r="B59" s="21"/>
      <c r="C59" s="4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2.5" customHeight="1">
      <c r="A60" s="4"/>
      <c r="B60" s="21"/>
      <c r="C60" s="4"/>
      <c r="D60" s="2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2.5" customHeight="1">
      <c r="A61" s="4"/>
      <c r="B61" s="21"/>
      <c r="C61" s="4"/>
      <c r="D61" s="2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2.5" customHeight="1">
      <c r="A62" s="4"/>
      <c r="B62" s="21"/>
      <c r="C62" s="4"/>
      <c r="D62" s="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2.5" customHeight="1">
      <c r="A63" s="4"/>
      <c r="B63" s="21"/>
      <c r="C63" s="4"/>
      <c r="D63" s="2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2.5" customHeight="1">
      <c r="A64" s="4"/>
      <c r="B64" s="21"/>
      <c r="C64" s="4"/>
      <c r="D64" s="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2.5" customHeight="1">
      <c r="A65" s="4"/>
      <c r="B65" s="21"/>
      <c r="C65" s="4"/>
      <c r="D65" s="2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2.5" customHeight="1">
      <c r="A66" s="4"/>
      <c r="B66" s="21"/>
      <c r="C66" s="4"/>
      <c r="D66" s="2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2.5" customHeight="1">
      <c r="A67" s="4"/>
      <c r="B67" s="21"/>
      <c r="C67" s="4"/>
      <c r="D67" s="2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2.5" customHeight="1">
      <c r="A68" s="4"/>
      <c r="B68" s="21"/>
      <c r="C68" s="4"/>
      <c r="D68" s="2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2.5" customHeight="1">
      <c r="A69" s="4"/>
      <c r="B69" s="21"/>
      <c r="C69" s="4"/>
      <c r="D69" s="2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2.5" customHeight="1">
      <c r="A70" s="4"/>
      <c r="B70" s="21"/>
      <c r="C70" s="4"/>
      <c r="D70" s="2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2.5" customHeight="1">
      <c r="A71" s="4"/>
      <c r="B71" s="21"/>
      <c r="C71" s="4"/>
      <c r="D71" s="2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2.5" customHeight="1">
      <c r="A72" s="4"/>
      <c r="B72" s="21"/>
      <c r="C72" s="4"/>
      <c r="D72" s="2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2.5" customHeight="1">
      <c r="A73" s="4"/>
      <c r="B73" s="21"/>
      <c r="C73" s="4"/>
      <c r="D73" s="2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2.5" customHeight="1">
      <c r="A74" s="4"/>
      <c r="B74" s="21"/>
      <c r="C74" s="4"/>
      <c r="D74" s="2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2.5" customHeight="1">
      <c r="A75" s="4"/>
      <c r="B75" s="21"/>
      <c r="C75" s="4"/>
      <c r="D75" s="2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2.5" customHeight="1">
      <c r="A76" s="4"/>
      <c r="B76" s="21"/>
      <c r="C76" s="4"/>
      <c r="D76" s="2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2.5" customHeight="1">
      <c r="A77" s="4"/>
      <c r="B77" s="21"/>
      <c r="C77" s="4"/>
      <c r="D77" s="2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2.5" customHeight="1">
      <c r="A78" s="4"/>
      <c r="B78" s="21"/>
      <c r="C78" s="4"/>
      <c r="D78" s="2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2.5" customHeight="1">
      <c r="A79" s="4"/>
      <c r="B79" s="21"/>
      <c r="C79" s="4"/>
      <c r="D79" s="2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2.5" customHeight="1">
      <c r="A80" s="4"/>
      <c r="B80" s="21"/>
      <c r="C80" s="4"/>
      <c r="D80" s="2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2.5" customHeight="1">
      <c r="A81" s="4"/>
      <c r="B81" s="21"/>
      <c r="C81" s="4"/>
      <c r="D81" s="2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2.5" customHeight="1">
      <c r="A82" s="4"/>
      <c r="B82" s="21"/>
      <c r="C82" s="4"/>
      <c r="D82" s="2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2.5" customHeight="1">
      <c r="A83" s="4"/>
      <c r="B83" s="21"/>
      <c r="C83" s="4"/>
      <c r="D83" s="2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2.5" customHeight="1">
      <c r="A84" s="4"/>
      <c r="B84" s="21"/>
      <c r="C84" s="4"/>
      <c r="D84" s="2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2.5" customHeight="1">
      <c r="A85" s="4"/>
      <c r="B85" s="21"/>
      <c r="C85" s="4"/>
      <c r="D85" s="2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2.5" customHeight="1">
      <c r="A86" s="4"/>
      <c r="B86" s="21"/>
      <c r="C86" s="4"/>
      <c r="D86" s="2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2.5" customHeight="1">
      <c r="A87" s="4"/>
      <c r="B87" s="21"/>
      <c r="C87" s="4"/>
      <c r="D87" s="2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2.5" customHeight="1">
      <c r="A88" s="4"/>
      <c r="B88" s="21"/>
      <c r="C88" s="4"/>
      <c r="D88" s="2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2.5" customHeight="1">
      <c r="A89" s="4"/>
      <c r="B89" s="21"/>
      <c r="C89" s="4"/>
      <c r="D89" s="2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2.5" customHeight="1">
      <c r="A90" s="4"/>
      <c r="B90" s="21"/>
      <c r="C90" s="4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2.5" customHeight="1">
      <c r="A91" s="4"/>
      <c r="B91" s="21"/>
      <c r="C91" s="4"/>
      <c r="D91" s="2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2.5" customHeight="1">
      <c r="A92" s="4"/>
      <c r="B92" s="21"/>
      <c r="C92" s="4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2.5" customHeight="1">
      <c r="A93" s="4"/>
      <c r="B93" s="21"/>
      <c r="C93" s="4"/>
      <c r="D93" s="2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2.5" customHeight="1">
      <c r="A94" s="4"/>
      <c r="B94" s="21"/>
      <c r="C94" s="4"/>
      <c r="D94" s="2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2.5" customHeight="1">
      <c r="A95" s="4"/>
      <c r="B95" s="21"/>
      <c r="C95" s="4"/>
      <c r="D95" s="2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2.5" customHeight="1">
      <c r="A96" s="4"/>
      <c r="B96" s="21"/>
      <c r="C96" s="4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2.5" customHeight="1">
      <c r="A97" s="4"/>
      <c r="B97" s="21"/>
      <c r="C97" s="4"/>
      <c r="D97" s="2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2.5" customHeight="1">
      <c r="A98" s="4"/>
      <c r="B98" s="21"/>
      <c r="C98" s="4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2.5" customHeight="1">
      <c r="A99" s="4"/>
      <c r="B99" s="21"/>
      <c r="C99" s="4"/>
      <c r="D99" s="2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2.5" customHeight="1">
      <c r="A100" s="4"/>
      <c r="B100" s="21"/>
      <c r="C100" s="4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2.5" customHeight="1">
      <c r="A101" s="4"/>
      <c r="B101" s="21"/>
      <c r="C101" s="4"/>
      <c r="D101" s="2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2.5" customHeight="1">
      <c r="A102" s="4"/>
      <c r="B102" s="21"/>
      <c r="C102" s="4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2.5" customHeight="1">
      <c r="A103" s="4"/>
      <c r="B103" s="21"/>
      <c r="C103" s="4"/>
      <c r="D103" s="2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2.5" customHeight="1">
      <c r="A104" s="4"/>
      <c r="B104" s="21"/>
      <c r="C104" s="4"/>
      <c r="D104" s="2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2.5" customHeight="1">
      <c r="A105" s="4"/>
      <c r="B105" s="21"/>
      <c r="C105" s="4"/>
      <c r="D105" s="2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2.5" customHeight="1">
      <c r="A106" s="4"/>
      <c r="B106" s="21"/>
      <c r="C106" s="4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2.5" customHeight="1">
      <c r="A107" s="4"/>
      <c r="B107" s="21"/>
      <c r="C107" s="4"/>
      <c r="D107" s="2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2.5" customHeight="1">
      <c r="A108" s="4"/>
      <c r="B108" s="21"/>
      <c r="C108" s="4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2.5" customHeight="1">
      <c r="A109" s="4"/>
      <c r="B109" s="21"/>
      <c r="C109" s="4"/>
      <c r="D109" s="2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2.5" customHeight="1">
      <c r="A110" s="4"/>
      <c r="B110" s="21"/>
      <c r="C110" s="4"/>
      <c r="D110" s="2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2.5" customHeight="1">
      <c r="A111" s="4"/>
      <c r="B111" s="21"/>
      <c r="C111" s="4"/>
      <c r="D111" s="2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2.5" customHeight="1">
      <c r="A112" s="4"/>
      <c r="B112" s="21"/>
      <c r="C112" s="4"/>
      <c r="D112" s="2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2.5" customHeight="1">
      <c r="A113" s="4"/>
      <c r="B113" s="21"/>
      <c r="C113" s="4"/>
      <c r="D113" s="2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2.5" customHeight="1">
      <c r="A114" s="4"/>
      <c r="B114" s="21"/>
      <c r="C114" s="4"/>
      <c r="D114" s="2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2.5" customHeight="1">
      <c r="A115" s="4"/>
      <c r="B115" s="21"/>
      <c r="C115" s="4"/>
      <c r="D115" s="2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2.5" customHeight="1">
      <c r="A116" s="4"/>
      <c r="B116" s="21"/>
      <c r="C116" s="4"/>
      <c r="D116" s="2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2.5" customHeight="1">
      <c r="A117" s="4"/>
      <c r="B117" s="21"/>
      <c r="C117" s="4"/>
      <c r="D117" s="2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2.5" customHeight="1">
      <c r="A118" s="4"/>
      <c r="B118" s="21"/>
      <c r="C118" s="4"/>
      <c r="D118" s="2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2.5" customHeight="1">
      <c r="A119" s="4"/>
      <c r="B119" s="21"/>
      <c r="C119" s="4"/>
      <c r="D119" s="2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2.5" customHeight="1">
      <c r="A120" s="4"/>
      <c r="B120" s="21"/>
      <c r="C120" s="4"/>
      <c r="D120" s="2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2.5" customHeight="1">
      <c r="A121" s="4"/>
      <c r="B121" s="21"/>
      <c r="C121" s="4"/>
      <c r="D121" s="2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2.5" customHeight="1">
      <c r="A122" s="4"/>
      <c r="B122" s="21"/>
      <c r="C122" s="4"/>
      <c r="D122" s="2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2.5" customHeight="1">
      <c r="A123" s="4"/>
      <c r="B123" s="21"/>
      <c r="C123" s="4"/>
      <c r="D123" s="2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2.5" customHeight="1">
      <c r="A124" s="4"/>
      <c r="B124" s="21"/>
      <c r="C124" s="4"/>
      <c r="D124" s="2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2.5" customHeight="1">
      <c r="A125" s="4"/>
      <c r="B125" s="21"/>
      <c r="C125" s="4"/>
      <c r="D125" s="2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2.5" customHeight="1">
      <c r="A126" s="4"/>
      <c r="B126" s="21"/>
      <c r="C126" s="4"/>
      <c r="D126" s="2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2.5" customHeight="1">
      <c r="A127" s="4"/>
      <c r="B127" s="21"/>
      <c r="C127" s="4"/>
      <c r="D127" s="2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2.5" customHeight="1">
      <c r="A128" s="4"/>
      <c r="B128" s="21"/>
      <c r="C128" s="4"/>
      <c r="D128" s="2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2.5" customHeight="1">
      <c r="A129" s="4"/>
      <c r="B129" s="21"/>
      <c r="C129" s="4"/>
      <c r="D129" s="2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2.5" customHeight="1">
      <c r="A130" s="4"/>
      <c r="B130" s="21"/>
      <c r="C130" s="4"/>
      <c r="D130" s="2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2.5" customHeight="1">
      <c r="A131" s="4"/>
      <c r="B131" s="21"/>
      <c r="C131" s="4"/>
      <c r="D131" s="2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2.5" customHeight="1">
      <c r="A132" s="4"/>
      <c r="B132" s="21"/>
      <c r="C132" s="4"/>
      <c r="D132" s="2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2.5" customHeight="1">
      <c r="A133" s="4"/>
      <c r="B133" s="21"/>
      <c r="C133" s="4"/>
      <c r="D133" s="2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2.5" customHeight="1">
      <c r="A134" s="4"/>
      <c r="B134" s="21"/>
      <c r="C134" s="4"/>
      <c r="D134" s="2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2.5" customHeight="1">
      <c r="A135" s="4"/>
      <c r="B135" s="21"/>
      <c r="C135" s="4"/>
      <c r="D135" s="2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2.5" customHeight="1">
      <c r="A136" s="4"/>
      <c r="B136" s="21"/>
      <c r="C136" s="4"/>
      <c r="D136" s="2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2.5" customHeight="1">
      <c r="A137" s="4"/>
      <c r="B137" s="21"/>
      <c r="C137" s="4"/>
      <c r="D137" s="2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2.5" customHeight="1">
      <c r="A138" s="4"/>
      <c r="B138" s="21"/>
      <c r="C138" s="4"/>
      <c r="D138" s="2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2.5" customHeight="1">
      <c r="A139" s="4"/>
      <c r="B139" s="21"/>
      <c r="C139" s="4"/>
      <c r="D139" s="2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2.5" customHeight="1">
      <c r="A140" s="4"/>
      <c r="B140" s="21"/>
      <c r="C140" s="4"/>
      <c r="D140" s="2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2.5" customHeight="1">
      <c r="A141" s="4"/>
      <c r="B141" s="21"/>
      <c r="C141" s="4"/>
      <c r="D141" s="2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2.5" customHeight="1">
      <c r="A142" s="4"/>
      <c r="B142" s="21"/>
      <c r="C142" s="4"/>
      <c r="D142" s="2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2.5" customHeight="1">
      <c r="A143" s="4"/>
      <c r="B143" s="21"/>
      <c r="C143" s="4"/>
      <c r="D143" s="2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2.5" customHeight="1">
      <c r="A144" s="4"/>
      <c r="B144" s="21"/>
      <c r="C144" s="4"/>
      <c r="D144" s="2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2.5" customHeight="1">
      <c r="A145" s="4"/>
      <c r="B145" s="21"/>
      <c r="C145" s="4"/>
      <c r="D145" s="2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2.5" customHeight="1">
      <c r="A146" s="4"/>
      <c r="B146" s="21"/>
      <c r="C146" s="4"/>
      <c r="D146" s="2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2.5" customHeight="1">
      <c r="A147" s="4"/>
      <c r="B147" s="21"/>
      <c r="C147" s="4"/>
      <c r="D147" s="2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2.5" customHeight="1">
      <c r="A148" s="4"/>
      <c r="B148" s="21"/>
      <c r="C148" s="4"/>
      <c r="D148" s="2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2.5" customHeight="1">
      <c r="A149" s="4"/>
      <c r="B149" s="21"/>
      <c r="C149" s="4"/>
      <c r="D149" s="2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2.5" customHeight="1">
      <c r="A150" s="4"/>
      <c r="B150" s="21"/>
      <c r="C150" s="4"/>
      <c r="D150" s="2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2.5" customHeight="1">
      <c r="A151" s="4"/>
      <c r="B151" s="21"/>
      <c r="C151" s="4"/>
      <c r="D151" s="2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2.5" customHeight="1">
      <c r="A152" s="4"/>
      <c r="B152" s="21"/>
      <c r="C152" s="4"/>
      <c r="D152" s="2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2.5" customHeight="1">
      <c r="A153" s="4"/>
      <c r="B153" s="21"/>
      <c r="C153" s="4"/>
      <c r="D153" s="2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2.5" customHeight="1">
      <c r="A154" s="4"/>
      <c r="B154" s="21"/>
      <c r="C154" s="4"/>
      <c r="D154" s="2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2.5" customHeight="1">
      <c r="A155" s="4"/>
      <c r="B155" s="21"/>
      <c r="C155" s="4"/>
      <c r="D155" s="2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2.5" customHeight="1">
      <c r="A156" s="4"/>
      <c r="B156" s="21"/>
      <c r="C156" s="4"/>
      <c r="D156" s="2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2.5" customHeight="1">
      <c r="A157" s="4"/>
      <c r="B157" s="21"/>
      <c r="C157" s="4"/>
      <c r="D157" s="2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2.5" customHeight="1">
      <c r="A158" s="4"/>
      <c r="B158" s="21"/>
      <c r="C158" s="4"/>
      <c r="D158" s="2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2.5" customHeight="1">
      <c r="A159" s="4"/>
      <c r="B159" s="21"/>
      <c r="C159" s="4"/>
      <c r="D159" s="2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2.5" customHeight="1">
      <c r="A160" s="4"/>
      <c r="B160" s="21"/>
      <c r="C160" s="4"/>
      <c r="D160" s="2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2.5" customHeight="1">
      <c r="A161" s="4"/>
      <c r="B161" s="21"/>
      <c r="C161" s="4"/>
      <c r="D161" s="2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2.5" customHeight="1">
      <c r="A162" s="4"/>
      <c r="B162" s="21"/>
      <c r="C162" s="4"/>
      <c r="D162" s="2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2.5" customHeight="1">
      <c r="A163" s="4"/>
      <c r="B163" s="21"/>
      <c r="C163" s="4"/>
      <c r="D163" s="2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2.5" customHeight="1">
      <c r="A164" s="4"/>
      <c r="B164" s="21"/>
      <c r="C164" s="4"/>
      <c r="D164" s="2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2.5" customHeight="1">
      <c r="A165" s="4"/>
      <c r="B165" s="21"/>
      <c r="C165" s="4"/>
      <c r="D165" s="2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2.5" customHeight="1">
      <c r="A166" s="4"/>
      <c r="B166" s="21"/>
      <c r="C166" s="4"/>
      <c r="D166" s="2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2.5" customHeight="1">
      <c r="A167" s="4"/>
      <c r="B167" s="21"/>
      <c r="C167" s="4"/>
      <c r="D167" s="2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2.5" customHeight="1">
      <c r="A168" s="4"/>
      <c r="B168" s="21"/>
      <c r="C168" s="4"/>
      <c r="D168" s="2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2.5" customHeight="1">
      <c r="A169" s="4"/>
      <c r="B169" s="21"/>
      <c r="C169" s="4"/>
      <c r="D169" s="2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2.5" customHeight="1">
      <c r="A170" s="4"/>
      <c r="B170" s="21"/>
      <c r="C170" s="4"/>
      <c r="D170" s="2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2.5" customHeight="1">
      <c r="A171" s="4"/>
      <c r="B171" s="21"/>
      <c r="C171" s="4"/>
      <c r="D171" s="2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2.5" customHeight="1">
      <c r="A172" s="4"/>
      <c r="B172" s="21"/>
      <c r="C172" s="4"/>
      <c r="D172" s="2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2.5" customHeight="1">
      <c r="A173" s="4"/>
      <c r="B173" s="21"/>
      <c r="C173" s="4"/>
      <c r="D173" s="2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2.5" customHeight="1">
      <c r="A174" s="4"/>
      <c r="B174" s="21"/>
      <c r="C174" s="4"/>
      <c r="D174" s="2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2.5" customHeight="1">
      <c r="A175" s="4"/>
      <c r="B175" s="21"/>
      <c r="C175" s="4"/>
      <c r="D175" s="2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2.5" customHeight="1">
      <c r="A176" s="4"/>
      <c r="B176" s="21"/>
      <c r="C176" s="4"/>
      <c r="D176" s="2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2.5" customHeight="1">
      <c r="A177" s="4"/>
      <c r="B177" s="21"/>
      <c r="C177" s="4"/>
      <c r="D177" s="2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2.5" customHeight="1">
      <c r="A178" s="4"/>
      <c r="B178" s="21"/>
      <c r="C178" s="4"/>
      <c r="D178" s="2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2.5" customHeight="1">
      <c r="A179" s="4"/>
      <c r="B179" s="21"/>
      <c r="C179" s="4"/>
      <c r="D179" s="2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2.5" customHeight="1">
      <c r="A180" s="4"/>
      <c r="B180" s="21"/>
      <c r="C180" s="4"/>
      <c r="D180" s="2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2.5" customHeight="1">
      <c r="A181" s="4"/>
      <c r="B181" s="21"/>
      <c r="C181" s="4"/>
      <c r="D181" s="2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2.5" customHeight="1">
      <c r="A182" s="4"/>
      <c r="B182" s="21"/>
      <c r="C182" s="4"/>
      <c r="D182" s="2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2.5" customHeight="1">
      <c r="A183" s="4"/>
      <c r="B183" s="21"/>
      <c r="C183" s="4"/>
      <c r="D183" s="2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2.5" customHeight="1">
      <c r="A184" s="4"/>
      <c r="B184" s="21"/>
      <c r="C184" s="4"/>
      <c r="D184" s="2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2.5" customHeight="1">
      <c r="A185" s="4"/>
      <c r="B185" s="21"/>
      <c r="C185" s="4"/>
      <c r="D185" s="2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2.5" customHeight="1">
      <c r="A186" s="4"/>
      <c r="B186" s="21"/>
      <c r="C186" s="4"/>
      <c r="D186" s="2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2.5" customHeight="1">
      <c r="A187" s="4"/>
      <c r="B187" s="21"/>
      <c r="C187" s="4"/>
      <c r="D187" s="2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2.5" customHeight="1">
      <c r="A188" s="4"/>
      <c r="B188" s="21"/>
      <c r="C188" s="4"/>
      <c r="D188" s="2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2.5" customHeight="1">
      <c r="A189" s="4"/>
      <c r="B189" s="21"/>
      <c r="C189" s="4"/>
      <c r="D189" s="2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2.5" customHeight="1">
      <c r="A190" s="4"/>
      <c r="B190" s="21"/>
      <c r="C190" s="4"/>
      <c r="D190" s="2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2.5" customHeight="1">
      <c r="A191" s="4"/>
      <c r="B191" s="21"/>
      <c r="C191" s="4"/>
      <c r="D191" s="2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2.5" customHeight="1">
      <c r="A192" s="4"/>
      <c r="B192" s="21"/>
      <c r="C192" s="4"/>
      <c r="D192" s="2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2.5" customHeight="1">
      <c r="A193" s="4"/>
      <c r="B193" s="21"/>
      <c r="C193" s="4"/>
      <c r="D193" s="2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2.5" customHeight="1">
      <c r="A194" s="4"/>
      <c r="B194" s="21"/>
      <c r="C194" s="4"/>
      <c r="D194" s="2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2.5" customHeight="1">
      <c r="A195" s="4"/>
      <c r="B195" s="21"/>
      <c r="C195" s="4"/>
      <c r="D195" s="2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2.5" customHeight="1">
      <c r="A196" s="4"/>
      <c r="B196" s="21"/>
      <c r="C196" s="4"/>
      <c r="D196" s="2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2.5" customHeight="1">
      <c r="A197" s="4"/>
      <c r="B197" s="21"/>
      <c r="C197" s="4"/>
      <c r="D197" s="2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2.5" customHeight="1">
      <c r="A198" s="4"/>
      <c r="B198" s="21"/>
      <c r="C198" s="4"/>
      <c r="D198" s="2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2.5" customHeight="1">
      <c r="A199" s="4"/>
      <c r="B199" s="21"/>
      <c r="C199" s="4"/>
      <c r="D199" s="2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2.5" customHeight="1">
      <c r="A200" s="4"/>
      <c r="B200" s="21"/>
      <c r="C200" s="4"/>
      <c r="D200" s="2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2.5" customHeight="1">
      <c r="A201" s="4"/>
      <c r="B201" s="21"/>
      <c r="C201" s="4"/>
      <c r="D201" s="2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2.5" customHeight="1">
      <c r="A202" s="4"/>
      <c r="B202" s="21"/>
      <c r="C202" s="4"/>
      <c r="D202" s="2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2.5" customHeight="1">
      <c r="A203" s="4"/>
      <c r="B203" s="21"/>
      <c r="C203" s="4"/>
      <c r="D203" s="2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2.5" customHeight="1">
      <c r="A204" s="4"/>
      <c r="B204" s="21"/>
      <c r="C204" s="4"/>
      <c r="D204" s="2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2.5" customHeight="1">
      <c r="A205" s="4"/>
      <c r="B205" s="21"/>
      <c r="C205" s="4"/>
      <c r="D205" s="2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2.5" customHeight="1">
      <c r="A206" s="4"/>
      <c r="B206" s="21"/>
      <c r="C206" s="4"/>
      <c r="D206" s="2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2.5" customHeight="1">
      <c r="A207" s="4"/>
      <c r="B207" s="21"/>
      <c r="C207" s="4"/>
      <c r="D207" s="2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2.5" customHeight="1">
      <c r="A208" s="4"/>
      <c r="B208" s="21"/>
      <c r="C208" s="4"/>
      <c r="D208" s="2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2.5" customHeight="1">
      <c r="A209" s="4"/>
      <c r="B209" s="21"/>
      <c r="C209" s="4"/>
      <c r="D209" s="2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2.5" customHeight="1">
      <c r="A210" s="4"/>
      <c r="B210" s="21"/>
      <c r="C210" s="4"/>
      <c r="D210" s="2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2.5" customHeight="1">
      <c r="A211" s="4"/>
      <c r="B211" s="21"/>
      <c r="C211" s="4"/>
      <c r="D211" s="2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2.5" customHeight="1">
      <c r="A212" s="4"/>
      <c r="B212" s="21"/>
      <c r="C212" s="4"/>
      <c r="D212" s="2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2.5" customHeight="1">
      <c r="A213" s="4"/>
      <c r="B213" s="21"/>
      <c r="C213" s="4"/>
      <c r="D213" s="2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2.5" customHeight="1">
      <c r="A214" s="4"/>
      <c r="B214" s="21"/>
      <c r="C214" s="4"/>
      <c r="D214" s="2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2.5" customHeight="1">
      <c r="A215" s="4"/>
      <c r="B215" s="21"/>
      <c r="C215" s="4"/>
      <c r="D215" s="2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2.5" customHeight="1">
      <c r="A216" s="4"/>
      <c r="B216" s="21"/>
      <c r="C216" s="4"/>
      <c r="D216" s="2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2.5" customHeight="1">
      <c r="A217" s="4"/>
      <c r="B217" s="21"/>
      <c r="C217" s="4"/>
      <c r="D217" s="2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2.5" customHeight="1">
      <c r="A218" s="4"/>
      <c r="B218" s="21"/>
      <c r="C218" s="4"/>
      <c r="D218" s="2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2.5" customHeight="1">
      <c r="A219" s="4"/>
      <c r="B219" s="21"/>
      <c r="C219" s="4"/>
      <c r="D219" s="2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2.5" customHeight="1">
      <c r="A220" s="4"/>
      <c r="B220" s="21"/>
      <c r="C220" s="4"/>
      <c r="D220" s="2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2.5" customHeight="1">
      <c r="A221" s="4"/>
      <c r="B221" s="21"/>
      <c r="C221" s="4"/>
      <c r="D221" s="2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2.5" customHeight="1">
      <c r="A222" s="4"/>
      <c r="B222" s="21"/>
      <c r="C222" s="4"/>
      <c r="D222" s="2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2.5" customHeight="1">
      <c r="A223" s="4"/>
      <c r="B223" s="21"/>
      <c r="C223" s="4"/>
      <c r="D223" s="2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2.5" customHeight="1">
      <c r="A224" s="4"/>
      <c r="B224" s="21"/>
      <c r="C224" s="4"/>
      <c r="D224" s="2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2.5" customHeight="1">
      <c r="A225" s="4"/>
      <c r="B225" s="21"/>
      <c r="C225" s="4"/>
      <c r="D225" s="2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2.5" customHeight="1">
      <c r="A226" s="4"/>
      <c r="B226" s="21"/>
      <c r="C226" s="4"/>
      <c r="D226" s="2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2.5" customHeight="1">
      <c r="A227" s="4"/>
      <c r="B227" s="21"/>
      <c r="C227" s="4"/>
      <c r="D227" s="2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2.5" customHeight="1">
      <c r="A228" s="4"/>
      <c r="B228" s="21"/>
      <c r="C228" s="4"/>
      <c r="D228" s="2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2.5" customHeight="1">
      <c r="A229" s="4"/>
      <c r="B229" s="21"/>
      <c r="C229" s="4"/>
      <c r="D229" s="2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2.5" customHeight="1">
      <c r="A230" s="4"/>
      <c r="B230" s="21"/>
      <c r="C230" s="4"/>
      <c r="D230" s="2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2.5" customHeight="1">
      <c r="A231" s="4"/>
      <c r="B231" s="21"/>
      <c r="C231" s="4"/>
      <c r="D231" s="2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2.5" customHeight="1">
      <c r="A232" s="4"/>
      <c r="B232" s="21"/>
      <c r="C232" s="4"/>
      <c r="D232" s="2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2.5" customHeight="1">
      <c r="A233" s="4"/>
      <c r="B233" s="21"/>
      <c r="C233" s="4"/>
      <c r="D233" s="2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2.5" customHeight="1">
      <c r="A234" s="4"/>
      <c r="B234" s="21"/>
      <c r="C234" s="4"/>
      <c r="D234" s="2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2.5" customHeight="1">
      <c r="A235" s="4"/>
      <c r="B235" s="21"/>
      <c r="C235" s="4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2.5" customHeight="1">
      <c r="A236" s="4"/>
      <c r="B236" s="21"/>
      <c r="C236" s="4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2.5" customHeight="1">
      <c r="A237" s="4"/>
      <c r="B237" s="21"/>
      <c r="C237" s="4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2.5" customHeight="1">
      <c r="A238" s="4"/>
      <c r="B238" s="21"/>
      <c r="C238" s="4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2.5" customHeight="1">
      <c r="A239" s="4"/>
      <c r="B239" s="21"/>
      <c r="C239" s="4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2.5" customHeight="1">
      <c r="A240" s="4"/>
      <c r="B240" s="21"/>
      <c r="C240" s="4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2.5" customHeight="1">
      <c r="A241" s="4"/>
      <c r="B241" s="21"/>
      <c r="C241" s="4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2.5" customHeight="1">
      <c r="A242" s="4"/>
      <c r="B242" s="21"/>
      <c r="C242" s="4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2.5" customHeight="1">
      <c r="A243" s="4"/>
      <c r="B243" s="21"/>
      <c r="C243" s="4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2.5" customHeight="1">
      <c r="A244" s="4"/>
      <c r="B244" s="21"/>
      <c r="C244" s="4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2.5" customHeight="1">
      <c r="A245" s="4"/>
      <c r="B245" s="21"/>
      <c r="C245" s="4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2.5" customHeight="1">
      <c r="A246" s="4"/>
      <c r="B246" s="21"/>
      <c r="C246" s="4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2.5" customHeight="1">
      <c r="A247" s="4"/>
      <c r="B247" s="21"/>
      <c r="C247" s="4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2.5" customHeight="1">
      <c r="A248" s="4"/>
      <c r="B248" s="21"/>
      <c r="C248" s="4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2.5" customHeight="1">
      <c r="A249" s="4"/>
      <c r="B249" s="21"/>
      <c r="C249" s="4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2.5" customHeight="1">
      <c r="A250" s="4"/>
      <c r="B250" s="21"/>
      <c r="C250" s="4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2.5" customHeight="1">
      <c r="A251" s="4"/>
      <c r="B251" s="21"/>
      <c r="C251" s="4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2.5" customHeight="1">
      <c r="A252" s="4"/>
      <c r="B252" s="21"/>
      <c r="C252" s="4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2.5" customHeight="1">
      <c r="A253" s="4"/>
      <c r="B253" s="21"/>
      <c r="C253" s="4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2.5" customHeight="1">
      <c r="A254" s="4"/>
      <c r="B254" s="21"/>
      <c r="C254" s="4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2.5" customHeight="1">
      <c r="A255" s="4"/>
      <c r="B255" s="21"/>
      <c r="C255" s="4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2.5" customHeight="1">
      <c r="A256" s="4"/>
      <c r="B256" s="21"/>
      <c r="C256" s="4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2.5" customHeight="1">
      <c r="A257" s="4"/>
      <c r="B257" s="21"/>
      <c r="C257" s="4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2.5" customHeight="1">
      <c r="A258" s="4"/>
      <c r="B258" s="21"/>
      <c r="C258" s="4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2.5" customHeight="1">
      <c r="A259" s="4"/>
      <c r="B259" s="21"/>
      <c r="C259" s="4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2.5" customHeight="1">
      <c r="A260" s="4"/>
      <c r="B260" s="21"/>
      <c r="C260" s="4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2.5" customHeight="1">
      <c r="A261" s="4"/>
      <c r="B261" s="21"/>
      <c r="C261" s="4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2.5" customHeight="1">
      <c r="A262" s="4"/>
      <c r="B262" s="21"/>
      <c r="C262" s="4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2.5" customHeight="1">
      <c r="A263" s="4"/>
      <c r="B263" s="21"/>
      <c r="C263" s="4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2.5" customHeight="1">
      <c r="A264" s="4"/>
      <c r="B264" s="21"/>
      <c r="C264" s="4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2.5" customHeight="1">
      <c r="A265" s="4"/>
      <c r="B265" s="21"/>
      <c r="C265" s="4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2.5" customHeight="1">
      <c r="A266" s="4"/>
      <c r="B266" s="21"/>
      <c r="C266" s="4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2.5" customHeight="1">
      <c r="A267" s="4"/>
      <c r="B267" s="21"/>
      <c r="C267" s="4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2.5" customHeight="1">
      <c r="A268" s="4"/>
      <c r="B268" s="21"/>
      <c r="C268" s="4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22.5" customHeight="1">
      <c r="A269" s="4"/>
      <c r="B269" s="21"/>
      <c r="C269" s="4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22.5" customHeight="1">
      <c r="A270" s="4"/>
      <c r="B270" s="21"/>
      <c r="C270" s="4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22.5" customHeight="1">
      <c r="A271" s="4"/>
      <c r="B271" s="21"/>
      <c r="C271" s="4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22.5" customHeight="1">
      <c r="A272" s="4"/>
      <c r="B272" s="21"/>
      <c r="C272" s="4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22.5" customHeight="1">
      <c r="A273" s="4"/>
      <c r="B273" s="21"/>
      <c r="C273" s="4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22.5" customHeight="1">
      <c r="A274" s="4"/>
      <c r="B274" s="21"/>
      <c r="C274" s="4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2.5" customHeight="1">
      <c r="A275" s="4"/>
      <c r="B275" s="21"/>
      <c r="C275" s="4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22.5" customHeight="1">
      <c r="A276" s="4"/>
      <c r="B276" s="21"/>
      <c r="C276" s="4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22.5" customHeight="1">
      <c r="A277" s="4"/>
      <c r="B277" s="21"/>
      <c r="C277" s="4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22.5" customHeight="1">
      <c r="A278" s="4"/>
      <c r="B278" s="21"/>
      <c r="C278" s="4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22.5" customHeight="1">
      <c r="A279" s="4"/>
      <c r="B279" s="21"/>
      <c r="C279" s="4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22.5" customHeight="1">
      <c r="A280" s="4"/>
      <c r="B280" s="21"/>
      <c r="C280" s="4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22.5" customHeight="1">
      <c r="A281" s="4"/>
      <c r="B281" s="21"/>
      <c r="C281" s="4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22.5" customHeight="1">
      <c r="A282" s="4"/>
      <c r="B282" s="21"/>
      <c r="C282" s="4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22.5" customHeight="1">
      <c r="A283" s="4"/>
      <c r="B283" s="21"/>
      <c r="C283" s="4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22.5" customHeight="1">
      <c r="A284" s="4"/>
      <c r="B284" s="21"/>
      <c r="C284" s="4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22.5" customHeight="1">
      <c r="A285" s="4"/>
      <c r="B285" s="21"/>
      <c r="C285" s="4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22.5" customHeight="1">
      <c r="A286" s="4"/>
      <c r="B286" s="21"/>
      <c r="C286" s="4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2.5" customHeight="1">
      <c r="A287" s="4"/>
      <c r="B287" s="21"/>
      <c r="C287" s="4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22.5" customHeight="1">
      <c r="A288" s="4"/>
      <c r="B288" s="21"/>
      <c r="C288" s="4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22.5" customHeight="1">
      <c r="A289" s="4"/>
      <c r="B289" s="21"/>
      <c r="C289" s="4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2.5" customHeight="1">
      <c r="A290" s="4"/>
      <c r="B290" s="21"/>
      <c r="C290" s="4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22.5" customHeight="1">
      <c r="A291" s="4"/>
      <c r="B291" s="21"/>
      <c r="C291" s="4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22.5" customHeight="1">
      <c r="A292" s="4"/>
      <c r="B292" s="21"/>
      <c r="C292" s="4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22.5" customHeight="1">
      <c r="A293" s="4"/>
      <c r="B293" s="21"/>
      <c r="C293" s="4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2.5" customHeight="1">
      <c r="A294" s="4"/>
      <c r="B294" s="21"/>
      <c r="C294" s="4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22.5" customHeight="1">
      <c r="A295" s="4"/>
      <c r="B295" s="21"/>
      <c r="C295" s="4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22.5" customHeight="1">
      <c r="A296" s="4"/>
      <c r="B296" s="21"/>
      <c r="C296" s="4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2.5" customHeight="1">
      <c r="A297" s="4"/>
      <c r="B297" s="21"/>
      <c r="C297" s="4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22.5" customHeight="1">
      <c r="A298" s="4"/>
      <c r="B298" s="21"/>
      <c r="C298" s="4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22.5" customHeight="1">
      <c r="A299" s="4"/>
      <c r="B299" s="21"/>
      <c r="C299" s="4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22.5" customHeight="1">
      <c r="A300" s="4"/>
      <c r="B300" s="21"/>
      <c r="C300" s="4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22.5" customHeight="1">
      <c r="A301" s="4"/>
      <c r="B301" s="21"/>
      <c r="C301" s="4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22.5" customHeight="1">
      <c r="A302" s="4"/>
      <c r="B302" s="21"/>
      <c r="C302" s="4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22.5" customHeight="1">
      <c r="A303" s="4"/>
      <c r="B303" s="21"/>
      <c r="C303" s="4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2.5" customHeight="1">
      <c r="A304" s="4"/>
      <c r="B304" s="21"/>
      <c r="C304" s="4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2.5" customHeight="1">
      <c r="A305" s="4"/>
      <c r="B305" s="21"/>
      <c r="C305" s="4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22.5" customHeight="1">
      <c r="A306" s="4"/>
      <c r="B306" s="21"/>
      <c r="C306" s="4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22.5" customHeight="1">
      <c r="A307" s="4"/>
      <c r="B307" s="21"/>
      <c r="C307" s="4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22.5" customHeight="1">
      <c r="A308" s="4"/>
      <c r="B308" s="21"/>
      <c r="C308" s="4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2.5" customHeight="1">
      <c r="A309" s="4"/>
      <c r="B309" s="21"/>
      <c r="C309" s="4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22.5" customHeight="1">
      <c r="A310" s="4"/>
      <c r="B310" s="21"/>
      <c r="C310" s="4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22.5" customHeight="1">
      <c r="A311" s="4"/>
      <c r="B311" s="21"/>
      <c r="C311" s="4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22.5" customHeight="1">
      <c r="A312" s="4"/>
      <c r="B312" s="21"/>
      <c r="C312" s="4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22.5" customHeight="1">
      <c r="A313" s="4"/>
      <c r="B313" s="21"/>
      <c r="C313" s="4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22.5" customHeight="1">
      <c r="A314" s="4"/>
      <c r="B314" s="21"/>
      <c r="C314" s="4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2.5" customHeight="1">
      <c r="A315" s="4"/>
      <c r="B315" s="21"/>
      <c r="C315" s="4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22.5" customHeight="1">
      <c r="A316" s="4"/>
      <c r="B316" s="21"/>
      <c r="C316" s="4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22.5" customHeight="1">
      <c r="A317" s="4"/>
      <c r="B317" s="21"/>
      <c r="C317" s="4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22.5" customHeight="1">
      <c r="A318" s="4"/>
      <c r="B318" s="21"/>
      <c r="C318" s="4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2.5" customHeight="1">
      <c r="A319" s="4"/>
      <c r="B319" s="21"/>
      <c r="C319" s="4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22.5" customHeight="1">
      <c r="A320" s="4"/>
      <c r="B320" s="21"/>
      <c r="C320" s="4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22.5" customHeight="1">
      <c r="A321" s="4"/>
      <c r="B321" s="21"/>
      <c r="C321" s="4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2.5" customHeight="1">
      <c r="A322" s="4"/>
      <c r="B322" s="21"/>
      <c r="C322" s="4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2.5" customHeight="1">
      <c r="A323" s="4"/>
      <c r="B323" s="21"/>
      <c r="C323" s="4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22.5" customHeight="1">
      <c r="A324" s="4"/>
      <c r="B324" s="21"/>
      <c r="C324" s="4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22.5" customHeight="1">
      <c r="A325" s="4"/>
      <c r="B325" s="21"/>
      <c r="C325" s="4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22.5" customHeight="1">
      <c r="A326" s="4"/>
      <c r="B326" s="21"/>
      <c r="C326" s="4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22.5" customHeight="1">
      <c r="A327" s="4"/>
      <c r="B327" s="21"/>
      <c r="C327" s="4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22.5" customHeight="1">
      <c r="A328" s="4"/>
      <c r="B328" s="21"/>
      <c r="C328" s="4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22.5" customHeight="1">
      <c r="A329" s="4"/>
      <c r="B329" s="21"/>
      <c r="C329" s="4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22.5" customHeight="1">
      <c r="A330" s="4"/>
      <c r="B330" s="21"/>
      <c r="C330" s="4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22.5" customHeight="1">
      <c r="A331" s="4"/>
      <c r="B331" s="21"/>
      <c r="C331" s="4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22.5" customHeight="1">
      <c r="A332" s="4"/>
      <c r="B332" s="21"/>
      <c r="C332" s="4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22.5" customHeight="1">
      <c r="A333" s="4"/>
      <c r="B333" s="21"/>
      <c r="C333" s="4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22.5" customHeight="1">
      <c r="A334" s="4"/>
      <c r="B334" s="21"/>
      <c r="C334" s="4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22.5" customHeight="1">
      <c r="A335" s="4"/>
      <c r="B335" s="21"/>
      <c r="C335" s="4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22.5" customHeight="1">
      <c r="A336" s="4"/>
      <c r="B336" s="21"/>
      <c r="C336" s="4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22.5" customHeight="1">
      <c r="A337" s="4"/>
      <c r="B337" s="21"/>
      <c r="C337" s="4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22.5" customHeight="1">
      <c r="A338" s="4"/>
      <c r="B338" s="21"/>
      <c r="C338" s="4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22.5" customHeight="1">
      <c r="A339" s="4"/>
      <c r="B339" s="21"/>
      <c r="C339" s="4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22.5" customHeight="1">
      <c r="A340" s="4"/>
      <c r="B340" s="21"/>
      <c r="C340" s="4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22.5" customHeight="1">
      <c r="A341" s="4"/>
      <c r="B341" s="21"/>
      <c r="C341" s="4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22.5" customHeight="1">
      <c r="A342" s="4"/>
      <c r="B342" s="21"/>
      <c r="C342" s="4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22.5" customHeight="1">
      <c r="A343" s="4"/>
      <c r="B343" s="21"/>
      <c r="C343" s="4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22.5" customHeight="1">
      <c r="A344" s="4"/>
      <c r="B344" s="21"/>
      <c r="C344" s="4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22.5" customHeight="1">
      <c r="A345" s="4"/>
      <c r="B345" s="21"/>
      <c r="C345" s="4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22.5" customHeight="1">
      <c r="A346" s="4"/>
      <c r="B346" s="21"/>
      <c r="C346" s="4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22.5" customHeight="1">
      <c r="A347" s="4"/>
      <c r="B347" s="21"/>
      <c r="C347" s="4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22.5" customHeight="1">
      <c r="A348" s="4"/>
      <c r="B348" s="21"/>
      <c r="C348" s="4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22.5" customHeight="1">
      <c r="A349" s="4"/>
      <c r="B349" s="21"/>
      <c r="C349" s="4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22.5" customHeight="1">
      <c r="A350" s="4"/>
      <c r="B350" s="21"/>
      <c r="C350" s="4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22.5" customHeight="1">
      <c r="A351" s="4"/>
      <c r="B351" s="21"/>
      <c r="C351" s="4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22.5" customHeight="1">
      <c r="A352" s="4"/>
      <c r="B352" s="21"/>
      <c r="C352" s="4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22.5" customHeight="1">
      <c r="A353" s="4"/>
      <c r="B353" s="21"/>
      <c r="C353" s="4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22.5" customHeight="1">
      <c r="A354" s="4"/>
      <c r="B354" s="21"/>
      <c r="C354" s="4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22.5" customHeight="1">
      <c r="A355" s="4"/>
      <c r="B355" s="21"/>
      <c r="C355" s="4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22.5" customHeight="1">
      <c r="A356" s="4"/>
      <c r="B356" s="21"/>
      <c r="C356" s="4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22.5" customHeight="1">
      <c r="A357" s="4"/>
      <c r="B357" s="21"/>
      <c r="C357" s="4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22.5" customHeight="1">
      <c r="A358" s="4"/>
      <c r="B358" s="21"/>
      <c r="C358" s="4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22.5" customHeight="1">
      <c r="A359" s="4"/>
      <c r="B359" s="21"/>
      <c r="C359" s="4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22.5" customHeight="1">
      <c r="A360" s="4"/>
      <c r="B360" s="21"/>
      <c r="C360" s="4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22.5" customHeight="1">
      <c r="A361" s="4"/>
      <c r="B361" s="21"/>
      <c r="C361" s="4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22.5" customHeight="1">
      <c r="A362" s="4"/>
      <c r="B362" s="21"/>
      <c r="C362" s="4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22.5" customHeight="1">
      <c r="A363" s="4"/>
      <c r="B363" s="21"/>
      <c r="C363" s="4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22.5" customHeight="1">
      <c r="A364" s="4"/>
      <c r="B364" s="21"/>
      <c r="C364" s="4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22.5" customHeight="1">
      <c r="A365" s="4"/>
      <c r="B365" s="21"/>
      <c r="C365" s="4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22.5" customHeight="1">
      <c r="A366" s="4"/>
      <c r="B366" s="21"/>
      <c r="C366" s="4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22.5" customHeight="1">
      <c r="A367" s="4"/>
      <c r="B367" s="21"/>
      <c r="C367" s="4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22.5" customHeight="1">
      <c r="A368" s="4"/>
      <c r="B368" s="21"/>
      <c r="C368" s="4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22.5" customHeight="1">
      <c r="A369" s="4"/>
      <c r="B369" s="21"/>
      <c r="C369" s="4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22.5" customHeight="1">
      <c r="A370" s="4"/>
      <c r="B370" s="21"/>
      <c r="C370" s="4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22.5" customHeight="1">
      <c r="A371" s="4"/>
      <c r="B371" s="21"/>
      <c r="C371" s="4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22.5" customHeight="1">
      <c r="A372" s="4"/>
      <c r="B372" s="21"/>
      <c r="C372" s="4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22.5" customHeight="1">
      <c r="A373" s="4"/>
      <c r="B373" s="21"/>
      <c r="C373" s="4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22.5" customHeight="1">
      <c r="A374" s="4"/>
      <c r="B374" s="21"/>
      <c r="C374" s="4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22.5" customHeight="1">
      <c r="A375" s="4"/>
      <c r="B375" s="21"/>
      <c r="C375" s="4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22.5" customHeight="1">
      <c r="A376" s="4"/>
      <c r="B376" s="21"/>
      <c r="C376" s="4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22.5" customHeight="1">
      <c r="A377" s="4"/>
      <c r="B377" s="21"/>
      <c r="C377" s="4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22.5" customHeight="1">
      <c r="A378" s="4"/>
      <c r="B378" s="21"/>
      <c r="C378" s="4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22.5" customHeight="1">
      <c r="A379" s="4"/>
      <c r="B379" s="21"/>
      <c r="C379" s="4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22.5" customHeight="1">
      <c r="A380" s="4"/>
      <c r="B380" s="21"/>
      <c r="C380" s="4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22.5" customHeight="1">
      <c r="A381" s="4"/>
      <c r="B381" s="21"/>
      <c r="C381" s="4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22.5" customHeight="1">
      <c r="A382" s="4"/>
      <c r="B382" s="21"/>
      <c r="C382" s="4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22.5" customHeight="1">
      <c r="A383" s="4"/>
      <c r="B383" s="21"/>
      <c r="C383" s="4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22.5" customHeight="1">
      <c r="A384" s="4"/>
      <c r="B384" s="21"/>
      <c r="C384" s="4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22.5" customHeight="1">
      <c r="A385" s="4"/>
      <c r="B385" s="21"/>
      <c r="C385" s="4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22.5" customHeight="1">
      <c r="A386" s="4"/>
      <c r="B386" s="21"/>
      <c r="C386" s="4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22.5" customHeight="1">
      <c r="A387" s="4"/>
      <c r="B387" s="21"/>
      <c r="C387" s="4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22.5" customHeight="1">
      <c r="A388" s="4"/>
      <c r="B388" s="21"/>
      <c r="C388" s="4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22.5" customHeight="1">
      <c r="A389" s="4"/>
      <c r="B389" s="21"/>
      <c r="C389" s="4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22.5" customHeight="1">
      <c r="A390" s="4"/>
      <c r="B390" s="21"/>
      <c r="C390" s="4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22.5" customHeight="1">
      <c r="A391" s="4"/>
      <c r="B391" s="21"/>
      <c r="C391" s="4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22.5" customHeight="1">
      <c r="A392" s="4"/>
      <c r="B392" s="21"/>
      <c r="C392" s="4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22.5" customHeight="1">
      <c r="A393" s="4"/>
      <c r="B393" s="21"/>
      <c r="C393" s="4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22.5" customHeight="1">
      <c r="A394" s="4"/>
      <c r="B394" s="21"/>
      <c r="C394" s="4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22.5" customHeight="1">
      <c r="A395" s="4"/>
      <c r="B395" s="21"/>
      <c r="C395" s="4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22.5" customHeight="1">
      <c r="A396" s="4"/>
      <c r="B396" s="21"/>
      <c r="C396" s="4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22.5" customHeight="1">
      <c r="A397" s="4"/>
      <c r="B397" s="21"/>
      <c r="C397" s="4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22.5" customHeight="1">
      <c r="A398" s="4"/>
      <c r="B398" s="21"/>
      <c r="C398" s="4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22.5" customHeight="1">
      <c r="A399" s="4"/>
      <c r="B399" s="21"/>
      <c r="C399" s="4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22.5" customHeight="1">
      <c r="A400" s="4"/>
      <c r="B400" s="21"/>
      <c r="C400" s="4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22.5" customHeight="1">
      <c r="A401" s="4"/>
      <c r="B401" s="21"/>
      <c r="C401" s="4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22.5" customHeight="1">
      <c r="A402" s="4"/>
      <c r="B402" s="21"/>
      <c r="C402" s="4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22.5" customHeight="1">
      <c r="A403" s="4"/>
      <c r="B403" s="21"/>
      <c r="C403" s="4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22.5" customHeight="1">
      <c r="A404" s="4"/>
      <c r="B404" s="21"/>
      <c r="C404" s="4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22.5" customHeight="1">
      <c r="A405" s="4"/>
      <c r="B405" s="21"/>
      <c r="C405" s="4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22.5" customHeight="1">
      <c r="A406" s="4"/>
      <c r="B406" s="21"/>
      <c r="C406" s="4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22.5" customHeight="1">
      <c r="A407" s="4"/>
      <c r="B407" s="21"/>
      <c r="C407" s="4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22.5" customHeight="1">
      <c r="A408" s="4"/>
      <c r="B408" s="21"/>
      <c r="C408" s="4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22.5" customHeight="1">
      <c r="A409" s="4"/>
      <c r="B409" s="21"/>
      <c r="C409" s="4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22.5" customHeight="1">
      <c r="A410" s="4"/>
      <c r="B410" s="21"/>
      <c r="C410" s="4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22.5" customHeight="1">
      <c r="A411" s="4"/>
      <c r="B411" s="21"/>
      <c r="C411" s="4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22.5" customHeight="1">
      <c r="A412" s="4"/>
      <c r="B412" s="21"/>
      <c r="C412" s="4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22.5" customHeight="1">
      <c r="A413" s="4"/>
      <c r="B413" s="21"/>
      <c r="C413" s="4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22.5" customHeight="1">
      <c r="A414" s="4"/>
      <c r="B414" s="21"/>
      <c r="C414" s="4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2.5" customHeight="1">
      <c r="A415" s="4"/>
      <c r="B415" s="21"/>
      <c r="C415" s="4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22.5" customHeight="1">
      <c r="A416" s="4"/>
      <c r="B416" s="21"/>
      <c r="C416" s="4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22.5" customHeight="1">
      <c r="A417" s="4"/>
      <c r="B417" s="21"/>
      <c r="C417" s="4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22.5" customHeight="1">
      <c r="A418" s="4"/>
      <c r="B418" s="21"/>
      <c r="C418" s="4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22.5" customHeight="1">
      <c r="A419" s="4"/>
      <c r="B419" s="21"/>
      <c r="C419" s="4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22.5" customHeight="1">
      <c r="A420" s="4"/>
      <c r="B420" s="21"/>
      <c r="C420" s="4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22.5" customHeight="1">
      <c r="A421" s="4"/>
      <c r="B421" s="21"/>
      <c r="C421" s="4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22.5" customHeight="1">
      <c r="A422" s="4"/>
      <c r="B422" s="21"/>
      <c r="C422" s="4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22.5" customHeight="1">
      <c r="A423" s="4"/>
      <c r="B423" s="21"/>
      <c r="C423" s="4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22.5" customHeight="1">
      <c r="A424" s="4"/>
      <c r="B424" s="21"/>
      <c r="C424" s="4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22.5" customHeight="1">
      <c r="A425" s="4"/>
      <c r="B425" s="21"/>
      <c r="C425" s="4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22.5" customHeight="1">
      <c r="A426" s="4"/>
      <c r="B426" s="21"/>
      <c r="C426" s="4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2.5" customHeight="1">
      <c r="A427" s="4"/>
      <c r="B427" s="21"/>
      <c r="C427" s="4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22.5" customHeight="1">
      <c r="A428" s="4"/>
      <c r="B428" s="21"/>
      <c r="C428" s="4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22.5" customHeight="1">
      <c r="A429" s="4"/>
      <c r="B429" s="21"/>
      <c r="C429" s="4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22.5" customHeight="1">
      <c r="A430" s="4"/>
      <c r="B430" s="21"/>
      <c r="C430" s="4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22.5" customHeight="1">
      <c r="A431" s="4"/>
      <c r="B431" s="21"/>
      <c r="C431" s="4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22.5" customHeight="1">
      <c r="A432" s="4"/>
      <c r="B432" s="21"/>
      <c r="C432" s="4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22.5" customHeight="1">
      <c r="A433" s="4"/>
      <c r="B433" s="21"/>
      <c r="C433" s="4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22.5" customHeight="1">
      <c r="A434" s="4"/>
      <c r="B434" s="21"/>
      <c r="C434" s="4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22.5" customHeight="1">
      <c r="A435" s="4"/>
      <c r="B435" s="21"/>
      <c r="C435" s="4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22.5" customHeight="1">
      <c r="A436" s="4"/>
      <c r="B436" s="21"/>
      <c r="C436" s="4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22.5" customHeight="1">
      <c r="A437" s="4"/>
      <c r="B437" s="21"/>
      <c r="C437" s="4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22.5" customHeight="1">
      <c r="A438" s="4"/>
      <c r="B438" s="21"/>
      <c r="C438" s="4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22.5" customHeight="1">
      <c r="A439" s="4"/>
      <c r="B439" s="21"/>
      <c r="C439" s="4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22.5" customHeight="1">
      <c r="A440" s="4"/>
      <c r="B440" s="21"/>
      <c r="C440" s="4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22.5" customHeight="1">
      <c r="A441" s="4"/>
      <c r="B441" s="21"/>
      <c r="C441" s="4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22.5" customHeight="1">
      <c r="A442" s="4"/>
      <c r="B442" s="21"/>
      <c r="C442" s="4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22.5" customHeight="1">
      <c r="A443" s="4"/>
      <c r="B443" s="21"/>
      <c r="C443" s="4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22.5" customHeight="1">
      <c r="A444" s="4"/>
      <c r="B444" s="21"/>
      <c r="C444" s="4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22.5" customHeight="1">
      <c r="A445" s="4"/>
      <c r="B445" s="21"/>
      <c r="C445" s="4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22.5" customHeight="1">
      <c r="A446" s="4"/>
      <c r="B446" s="21"/>
      <c r="C446" s="4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22.5" customHeight="1">
      <c r="A447" s="4"/>
      <c r="B447" s="21"/>
      <c r="C447" s="4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2.5" customHeight="1">
      <c r="A448" s="4"/>
      <c r="B448" s="21"/>
      <c r="C448" s="4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22.5" customHeight="1">
      <c r="A449" s="4"/>
      <c r="B449" s="21"/>
      <c r="C449" s="4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22.5" customHeight="1">
      <c r="A450" s="4"/>
      <c r="B450" s="21"/>
      <c r="C450" s="4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22.5" customHeight="1">
      <c r="A451" s="4"/>
      <c r="B451" s="21"/>
      <c r="C451" s="4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22.5" customHeight="1">
      <c r="A452" s="4"/>
      <c r="B452" s="21"/>
      <c r="C452" s="4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22.5" customHeight="1">
      <c r="A453" s="4"/>
      <c r="B453" s="21"/>
      <c r="C453" s="4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22.5" customHeight="1">
      <c r="A454" s="4"/>
      <c r="B454" s="21"/>
      <c r="C454" s="4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22.5" customHeight="1">
      <c r="A455" s="4"/>
      <c r="B455" s="21"/>
      <c r="C455" s="4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22.5" customHeight="1">
      <c r="A456" s="4"/>
      <c r="B456" s="21"/>
      <c r="C456" s="4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22.5" customHeight="1">
      <c r="A457" s="4"/>
      <c r="B457" s="21"/>
      <c r="C457" s="4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22.5" customHeight="1">
      <c r="A458" s="4"/>
      <c r="B458" s="21"/>
      <c r="C458" s="4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22.5" customHeight="1">
      <c r="A459" s="4"/>
      <c r="B459" s="21"/>
      <c r="C459" s="4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22.5" customHeight="1">
      <c r="A460" s="4"/>
      <c r="B460" s="21"/>
      <c r="C460" s="4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22.5" customHeight="1">
      <c r="A461" s="4"/>
      <c r="B461" s="21"/>
      <c r="C461" s="4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2.5" customHeight="1">
      <c r="A462" s="4"/>
      <c r="B462" s="21"/>
      <c r="C462" s="4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22.5" customHeight="1">
      <c r="A463" s="4"/>
      <c r="B463" s="21"/>
      <c r="C463" s="4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22.5" customHeight="1">
      <c r="A464" s="4"/>
      <c r="B464" s="21"/>
      <c r="C464" s="4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22.5" customHeight="1">
      <c r="A465" s="4"/>
      <c r="B465" s="21"/>
      <c r="C465" s="4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22.5" customHeight="1">
      <c r="A466" s="4"/>
      <c r="B466" s="21"/>
      <c r="C466" s="4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22.5" customHeight="1">
      <c r="A467" s="4"/>
      <c r="B467" s="21"/>
      <c r="C467" s="4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22.5" customHeight="1">
      <c r="A468" s="4"/>
      <c r="B468" s="21"/>
      <c r="C468" s="4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22.5" customHeight="1">
      <c r="A469" s="4"/>
      <c r="B469" s="21"/>
      <c r="C469" s="4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2.5" customHeight="1">
      <c r="A470" s="4"/>
      <c r="B470" s="21"/>
      <c r="C470" s="4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22.5" customHeight="1">
      <c r="A471" s="4"/>
      <c r="B471" s="21"/>
      <c r="C471" s="4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22.5" customHeight="1">
      <c r="A472" s="4"/>
      <c r="B472" s="21"/>
      <c r="C472" s="4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22.5" customHeight="1">
      <c r="A473" s="4"/>
      <c r="B473" s="21"/>
      <c r="C473" s="4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22.5" customHeight="1">
      <c r="A474" s="4"/>
      <c r="B474" s="21"/>
      <c r="C474" s="4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22.5" customHeight="1">
      <c r="A475" s="4"/>
      <c r="B475" s="21"/>
      <c r="C475" s="4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22.5" customHeight="1">
      <c r="A476" s="4"/>
      <c r="B476" s="21"/>
      <c r="C476" s="4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22.5" customHeight="1">
      <c r="A477" s="4"/>
      <c r="B477" s="21"/>
      <c r="C477" s="4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22.5" customHeight="1">
      <c r="A478" s="4"/>
      <c r="B478" s="21"/>
      <c r="C478" s="4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22.5" customHeight="1">
      <c r="A479" s="4"/>
      <c r="B479" s="21"/>
      <c r="C479" s="4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22.5" customHeight="1">
      <c r="A480" s="4"/>
      <c r="B480" s="21"/>
      <c r="C480" s="4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22.5" customHeight="1">
      <c r="A481" s="4"/>
      <c r="B481" s="21"/>
      <c r="C481" s="4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22.5" customHeight="1">
      <c r="A482" s="4"/>
      <c r="B482" s="21"/>
      <c r="C482" s="4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2.5" customHeight="1">
      <c r="A483" s="4"/>
      <c r="B483" s="21"/>
      <c r="C483" s="4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22.5" customHeight="1">
      <c r="A484" s="4"/>
      <c r="B484" s="21"/>
      <c r="C484" s="4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22.5" customHeight="1">
      <c r="A485" s="4"/>
      <c r="B485" s="21"/>
      <c r="C485" s="4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22.5" customHeight="1">
      <c r="A486" s="4"/>
      <c r="B486" s="21"/>
      <c r="C486" s="4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22.5" customHeight="1">
      <c r="A487" s="4"/>
      <c r="B487" s="21"/>
      <c r="C487" s="4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22.5" customHeight="1">
      <c r="A488" s="4"/>
      <c r="B488" s="21"/>
      <c r="C488" s="4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22.5" customHeight="1">
      <c r="A489" s="4"/>
      <c r="B489" s="21"/>
      <c r="C489" s="4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22.5" customHeight="1">
      <c r="A490" s="4"/>
      <c r="B490" s="21"/>
      <c r="C490" s="4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22.5" customHeight="1">
      <c r="A491" s="4"/>
      <c r="B491" s="21"/>
      <c r="C491" s="4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22.5" customHeight="1">
      <c r="A492" s="4"/>
      <c r="B492" s="21"/>
      <c r="C492" s="4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22.5" customHeight="1">
      <c r="A493" s="4"/>
      <c r="B493" s="21"/>
      <c r="C493" s="4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22.5" customHeight="1">
      <c r="A494" s="4"/>
      <c r="B494" s="21"/>
      <c r="C494" s="4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2.5" customHeight="1">
      <c r="A495" s="4"/>
      <c r="B495" s="21"/>
      <c r="C495" s="4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22.5" customHeight="1">
      <c r="A496" s="4"/>
      <c r="B496" s="21"/>
      <c r="C496" s="4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22.5" customHeight="1">
      <c r="A497" s="4"/>
      <c r="B497" s="21"/>
      <c r="C497" s="4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22.5" customHeight="1">
      <c r="A498" s="4"/>
      <c r="B498" s="21"/>
      <c r="C498" s="4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22.5" customHeight="1">
      <c r="A499" s="4"/>
      <c r="B499" s="21"/>
      <c r="C499" s="4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22.5" customHeight="1">
      <c r="A500" s="4"/>
      <c r="B500" s="21"/>
      <c r="C500" s="4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22.5" customHeight="1">
      <c r="A501" s="4"/>
      <c r="B501" s="21"/>
      <c r="C501" s="4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22.5" customHeight="1">
      <c r="A502" s="4"/>
      <c r="B502" s="21"/>
      <c r="C502" s="4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22.5" customHeight="1">
      <c r="A503" s="4"/>
      <c r="B503" s="21"/>
      <c r="C503" s="4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22.5" customHeight="1">
      <c r="A504" s="4"/>
      <c r="B504" s="21"/>
      <c r="C504" s="4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22.5" customHeight="1">
      <c r="A505" s="4"/>
      <c r="B505" s="21"/>
      <c r="C505" s="4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22.5" customHeight="1">
      <c r="A506" s="4"/>
      <c r="B506" s="21"/>
      <c r="C506" s="4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22.5" customHeight="1">
      <c r="A507" s="4"/>
      <c r="B507" s="21"/>
      <c r="C507" s="4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22.5" customHeight="1">
      <c r="A508" s="4"/>
      <c r="B508" s="21"/>
      <c r="C508" s="4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22.5" customHeight="1">
      <c r="A509" s="4"/>
      <c r="B509" s="21"/>
      <c r="C509" s="4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22.5" customHeight="1">
      <c r="A510" s="4"/>
      <c r="B510" s="21"/>
      <c r="C510" s="4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22.5" customHeight="1">
      <c r="A511" s="4"/>
      <c r="B511" s="21"/>
      <c r="C511" s="4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22.5" customHeight="1">
      <c r="A512" s="4"/>
      <c r="B512" s="21"/>
      <c r="C512" s="4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22.5" customHeight="1">
      <c r="A513" s="4"/>
      <c r="B513" s="21"/>
      <c r="C513" s="4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22.5" customHeight="1">
      <c r="A514" s="4"/>
      <c r="B514" s="21"/>
      <c r="C514" s="4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22.5" customHeight="1">
      <c r="A515" s="4"/>
      <c r="B515" s="21"/>
      <c r="C515" s="4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22.5" customHeight="1">
      <c r="A516" s="4"/>
      <c r="B516" s="21"/>
      <c r="C516" s="4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22.5" customHeight="1">
      <c r="A517" s="4"/>
      <c r="B517" s="21"/>
      <c r="C517" s="4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22.5" customHeight="1">
      <c r="A518" s="4"/>
      <c r="B518" s="21"/>
      <c r="C518" s="4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22.5" customHeight="1">
      <c r="A519" s="4"/>
      <c r="B519" s="21"/>
      <c r="C519" s="4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22.5" customHeight="1">
      <c r="A520" s="4"/>
      <c r="B520" s="21"/>
      <c r="C520" s="4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22.5" customHeight="1">
      <c r="A521" s="4"/>
      <c r="B521" s="21"/>
      <c r="C521" s="4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22.5" customHeight="1">
      <c r="A522" s="4"/>
      <c r="B522" s="21"/>
      <c r="C522" s="4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22.5" customHeight="1">
      <c r="A523" s="4"/>
      <c r="B523" s="21"/>
      <c r="C523" s="4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22.5" customHeight="1">
      <c r="A524" s="4"/>
      <c r="B524" s="21"/>
      <c r="C524" s="4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22.5" customHeight="1">
      <c r="A525" s="4"/>
      <c r="B525" s="21"/>
      <c r="C525" s="4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22.5" customHeight="1">
      <c r="A526" s="4"/>
      <c r="B526" s="21"/>
      <c r="C526" s="4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22.5" customHeight="1">
      <c r="A527" s="4"/>
      <c r="B527" s="21"/>
      <c r="C527" s="4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22.5" customHeight="1">
      <c r="A528" s="4"/>
      <c r="B528" s="21"/>
      <c r="C528" s="4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22.5" customHeight="1">
      <c r="A529" s="4"/>
      <c r="B529" s="21"/>
      <c r="C529" s="4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22.5" customHeight="1">
      <c r="A530" s="4"/>
      <c r="B530" s="21"/>
      <c r="C530" s="4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22.5" customHeight="1">
      <c r="A531" s="4"/>
      <c r="B531" s="21"/>
      <c r="C531" s="4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22.5" customHeight="1">
      <c r="A532" s="4"/>
      <c r="B532" s="21"/>
      <c r="C532" s="4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22.5" customHeight="1">
      <c r="A533" s="4"/>
      <c r="B533" s="21"/>
      <c r="C533" s="4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22.5" customHeight="1">
      <c r="A534" s="4"/>
      <c r="B534" s="21"/>
      <c r="C534" s="4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22.5" customHeight="1">
      <c r="A535" s="4"/>
      <c r="B535" s="21"/>
      <c r="C535" s="4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22.5" customHeight="1">
      <c r="A536" s="4"/>
      <c r="B536" s="21"/>
      <c r="C536" s="4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22.5" customHeight="1">
      <c r="A537" s="4"/>
      <c r="B537" s="21"/>
      <c r="C537" s="4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22.5" customHeight="1">
      <c r="A538" s="4"/>
      <c r="B538" s="21"/>
      <c r="C538" s="4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22.5" customHeight="1">
      <c r="A539" s="4"/>
      <c r="B539" s="21"/>
      <c r="C539" s="4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22.5" customHeight="1">
      <c r="A540" s="4"/>
      <c r="B540" s="21"/>
      <c r="C540" s="4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22.5" customHeight="1">
      <c r="A541" s="4"/>
      <c r="B541" s="21"/>
      <c r="C541" s="4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22.5" customHeight="1">
      <c r="A542" s="4"/>
      <c r="B542" s="21"/>
      <c r="C542" s="4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22.5" customHeight="1">
      <c r="A543" s="4"/>
      <c r="B543" s="21"/>
      <c r="C543" s="4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22.5" customHeight="1">
      <c r="A544" s="4"/>
      <c r="B544" s="21"/>
      <c r="C544" s="4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22.5" customHeight="1">
      <c r="A545" s="4"/>
      <c r="B545" s="21"/>
      <c r="C545" s="4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22.5" customHeight="1">
      <c r="A546" s="4"/>
      <c r="B546" s="21"/>
      <c r="C546" s="4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22.5" customHeight="1">
      <c r="A547" s="4"/>
      <c r="B547" s="21"/>
      <c r="C547" s="4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22.5" customHeight="1">
      <c r="A548" s="4"/>
      <c r="B548" s="21"/>
      <c r="C548" s="4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22.5" customHeight="1">
      <c r="A549" s="4"/>
      <c r="B549" s="21"/>
      <c r="C549" s="4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22.5" customHeight="1">
      <c r="A550" s="4"/>
      <c r="B550" s="21"/>
      <c r="C550" s="4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22.5" customHeight="1">
      <c r="A551" s="4"/>
      <c r="B551" s="21"/>
      <c r="C551" s="4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22.5" customHeight="1">
      <c r="A552" s="4"/>
      <c r="B552" s="21"/>
      <c r="C552" s="4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22.5" customHeight="1">
      <c r="A553" s="4"/>
      <c r="B553" s="21"/>
      <c r="C553" s="4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22.5" customHeight="1">
      <c r="A554" s="4"/>
      <c r="B554" s="21"/>
      <c r="C554" s="4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22.5" customHeight="1">
      <c r="A555" s="4"/>
      <c r="B555" s="21"/>
      <c r="C555" s="4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22.5" customHeight="1">
      <c r="A556" s="4"/>
      <c r="B556" s="21"/>
      <c r="C556" s="4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22.5" customHeight="1">
      <c r="A557" s="4"/>
      <c r="B557" s="21"/>
      <c r="C557" s="4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22.5" customHeight="1">
      <c r="A558" s="4"/>
      <c r="B558" s="21"/>
      <c r="C558" s="4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22.5" customHeight="1">
      <c r="A559" s="4"/>
      <c r="B559" s="21"/>
      <c r="C559" s="4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22.5" customHeight="1">
      <c r="A560" s="4"/>
      <c r="B560" s="21"/>
      <c r="C560" s="4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22.5" customHeight="1">
      <c r="A561" s="4"/>
      <c r="B561" s="21"/>
      <c r="C561" s="4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22.5" customHeight="1">
      <c r="A562" s="4"/>
      <c r="B562" s="21"/>
      <c r="C562" s="4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22.5" customHeight="1">
      <c r="A563" s="4"/>
      <c r="B563" s="21"/>
      <c r="C563" s="4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22.5" customHeight="1">
      <c r="A564" s="4"/>
      <c r="B564" s="21"/>
      <c r="C564" s="4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22.5" customHeight="1">
      <c r="A565" s="4"/>
      <c r="B565" s="21"/>
      <c r="C565" s="4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22.5" customHeight="1">
      <c r="A566" s="4"/>
      <c r="B566" s="21"/>
      <c r="C566" s="4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22.5" customHeight="1">
      <c r="A567" s="4"/>
      <c r="B567" s="21"/>
      <c r="C567" s="4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22.5" customHeight="1">
      <c r="A568" s="4"/>
      <c r="B568" s="21"/>
      <c r="C568" s="4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22.5" customHeight="1">
      <c r="A569" s="4"/>
      <c r="B569" s="21"/>
      <c r="C569" s="4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22.5" customHeight="1">
      <c r="A570" s="4"/>
      <c r="B570" s="21"/>
      <c r="C570" s="4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22.5" customHeight="1">
      <c r="A571" s="4"/>
      <c r="B571" s="21"/>
      <c r="C571" s="4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22.5" customHeight="1">
      <c r="A572" s="4"/>
      <c r="B572" s="21"/>
      <c r="C572" s="4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22.5" customHeight="1">
      <c r="A573" s="4"/>
      <c r="B573" s="21"/>
      <c r="C573" s="4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22.5" customHeight="1">
      <c r="A574" s="4"/>
      <c r="B574" s="21"/>
      <c r="C574" s="4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22.5" customHeight="1">
      <c r="A575" s="4"/>
      <c r="B575" s="21"/>
      <c r="C575" s="4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22.5" customHeight="1">
      <c r="A576" s="4"/>
      <c r="B576" s="21"/>
      <c r="C576" s="4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22.5" customHeight="1">
      <c r="A577" s="4"/>
      <c r="B577" s="21"/>
      <c r="C577" s="4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22.5" customHeight="1">
      <c r="A578" s="4"/>
      <c r="B578" s="21"/>
      <c r="C578" s="4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22.5" customHeight="1">
      <c r="A579" s="4"/>
      <c r="B579" s="21"/>
      <c r="C579" s="4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22.5" customHeight="1">
      <c r="A580" s="4"/>
      <c r="B580" s="21"/>
      <c r="C580" s="4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22.5" customHeight="1">
      <c r="A581" s="4"/>
      <c r="B581" s="21"/>
      <c r="C581" s="4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22.5" customHeight="1">
      <c r="A582" s="4"/>
      <c r="B582" s="21"/>
      <c r="C582" s="4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22.5" customHeight="1">
      <c r="A583" s="4"/>
      <c r="B583" s="21"/>
      <c r="C583" s="4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22.5" customHeight="1">
      <c r="A584" s="4"/>
      <c r="B584" s="21"/>
      <c r="C584" s="4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22.5" customHeight="1">
      <c r="A585" s="4"/>
      <c r="B585" s="21"/>
      <c r="C585" s="4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22.5" customHeight="1">
      <c r="A586" s="4"/>
      <c r="B586" s="21"/>
      <c r="C586" s="4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22.5" customHeight="1">
      <c r="A587" s="4"/>
      <c r="B587" s="21"/>
      <c r="C587" s="4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22.5" customHeight="1">
      <c r="A588" s="4"/>
      <c r="B588" s="21"/>
      <c r="C588" s="4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22.5" customHeight="1">
      <c r="A589" s="4"/>
      <c r="B589" s="21"/>
      <c r="C589" s="4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22.5" customHeight="1">
      <c r="A590" s="4"/>
      <c r="B590" s="21"/>
      <c r="C590" s="4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22.5" customHeight="1">
      <c r="A591" s="4"/>
      <c r="B591" s="21"/>
      <c r="C591" s="4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22.5" customHeight="1">
      <c r="A592" s="4"/>
      <c r="B592" s="21"/>
      <c r="C592" s="4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22.5" customHeight="1">
      <c r="A593" s="4"/>
      <c r="B593" s="21"/>
      <c r="C593" s="4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22.5" customHeight="1">
      <c r="A594" s="4"/>
      <c r="B594" s="21"/>
      <c r="C594" s="4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22.5" customHeight="1">
      <c r="A595" s="4"/>
      <c r="B595" s="21"/>
      <c r="C595" s="4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22.5" customHeight="1">
      <c r="A596" s="4"/>
      <c r="B596" s="21"/>
      <c r="C596" s="4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22.5" customHeight="1">
      <c r="A597" s="4"/>
      <c r="B597" s="21"/>
      <c r="C597" s="4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22.5" customHeight="1">
      <c r="A598" s="4"/>
      <c r="B598" s="21"/>
      <c r="C598" s="4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22.5" customHeight="1">
      <c r="A599" s="4"/>
      <c r="B599" s="21"/>
      <c r="C599" s="4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22.5" customHeight="1">
      <c r="A600" s="4"/>
      <c r="B600" s="21"/>
      <c r="C600" s="4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22.5" customHeight="1">
      <c r="A601" s="4"/>
      <c r="B601" s="21"/>
      <c r="C601" s="4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22.5" customHeight="1">
      <c r="A602" s="4"/>
      <c r="B602" s="21"/>
      <c r="C602" s="4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22.5" customHeight="1">
      <c r="A603" s="4"/>
      <c r="B603" s="21"/>
      <c r="C603" s="4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22.5" customHeight="1">
      <c r="A604" s="4"/>
      <c r="B604" s="21"/>
      <c r="C604" s="4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22.5" customHeight="1">
      <c r="A605" s="4"/>
      <c r="B605" s="21"/>
      <c r="C605" s="4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22.5" customHeight="1">
      <c r="A606" s="4"/>
      <c r="B606" s="21"/>
      <c r="C606" s="4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22.5" customHeight="1">
      <c r="A607" s="4"/>
      <c r="B607" s="21"/>
      <c r="C607" s="4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22.5" customHeight="1">
      <c r="A608" s="4"/>
      <c r="B608" s="21"/>
      <c r="C608" s="4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22.5" customHeight="1">
      <c r="A609" s="4"/>
      <c r="B609" s="21"/>
      <c r="C609" s="4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22.5" customHeight="1">
      <c r="A610" s="4"/>
      <c r="B610" s="21"/>
      <c r="C610" s="4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22.5" customHeight="1">
      <c r="A611" s="4"/>
      <c r="B611" s="21"/>
      <c r="C611" s="4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22.5" customHeight="1">
      <c r="A612" s="4"/>
      <c r="B612" s="21"/>
      <c r="C612" s="4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22.5" customHeight="1">
      <c r="A613" s="4"/>
      <c r="B613" s="21"/>
      <c r="C613" s="4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22.5" customHeight="1">
      <c r="A614" s="4"/>
      <c r="B614" s="21"/>
      <c r="C614" s="4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22.5" customHeight="1">
      <c r="A615" s="4"/>
      <c r="B615" s="21"/>
      <c r="C615" s="4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22.5" customHeight="1">
      <c r="A616" s="4"/>
      <c r="B616" s="21"/>
      <c r="C616" s="4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22.5" customHeight="1">
      <c r="A617" s="4"/>
      <c r="B617" s="21"/>
      <c r="C617" s="4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22.5" customHeight="1">
      <c r="A618" s="4"/>
      <c r="B618" s="21"/>
      <c r="C618" s="4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22.5" customHeight="1">
      <c r="A619" s="4"/>
      <c r="B619" s="21"/>
      <c r="C619" s="4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22.5" customHeight="1">
      <c r="A620" s="4"/>
      <c r="B620" s="21"/>
      <c r="C620" s="4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22.5" customHeight="1">
      <c r="A621" s="4"/>
      <c r="B621" s="21"/>
      <c r="C621" s="4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22.5" customHeight="1">
      <c r="A622" s="4"/>
      <c r="B622" s="21"/>
      <c r="C622" s="4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22.5" customHeight="1">
      <c r="A623" s="4"/>
      <c r="B623" s="21"/>
      <c r="C623" s="4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22.5" customHeight="1">
      <c r="A624" s="4"/>
      <c r="B624" s="21"/>
      <c r="C624" s="4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22.5" customHeight="1">
      <c r="A625" s="4"/>
      <c r="B625" s="21"/>
      <c r="C625" s="4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22.5" customHeight="1">
      <c r="A626" s="4"/>
      <c r="B626" s="21"/>
      <c r="C626" s="4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22.5" customHeight="1">
      <c r="A627" s="4"/>
      <c r="B627" s="21"/>
      <c r="C627" s="4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22.5" customHeight="1">
      <c r="A628" s="4"/>
      <c r="B628" s="21"/>
      <c r="C628" s="4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22.5" customHeight="1">
      <c r="A629" s="4"/>
      <c r="B629" s="21"/>
      <c r="C629" s="4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22.5" customHeight="1">
      <c r="A630" s="4"/>
      <c r="B630" s="21"/>
      <c r="C630" s="4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22.5" customHeight="1">
      <c r="A631" s="4"/>
      <c r="B631" s="21"/>
      <c r="C631" s="4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22.5" customHeight="1">
      <c r="A632" s="4"/>
      <c r="B632" s="21"/>
      <c r="C632" s="4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22.5" customHeight="1">
      <c r="A633" s="4"/>
      <c r="B633" s="21"/>
      <c r="C633" s="4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22.5" customHeight="1">
      <c r="A634" s="4"/>
      <c r="B634" s="21"/>
      <c r="C634" s="4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22.5" customHeight="1">
      <c r="A635" s="4"/>
      <c r="B635" s="21"/>
      <c r="C635" s="4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22.5" customHeight="1">
      <c r="A636" s="4"/>
      <c r="B636" s="21"/>
      <c r="C636" s="4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22.5" customHeight="1">
      <c r="A637" s="4"/>
      <c r="B637" s="21"/>
      <c r="C637" s="4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22.5" customHeight="1">
      <c r="A638" s="4"/>
      <c r="B638" s="21"/>
      <c r="C638" s="4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22.5" customHeight="1">
      <c r="A639" s="4"/>
      <c r="B639" s="21"/>
      <c r="C639" s="4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22.5" customHeight="1">
      <c r="A640" s="4"/>
      <c r="B640" s="21"/>
      <c r="C640" s="4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22.5" customHeight="1">
      <c r="A641" s="4"/>
      <c r="B641" s="21"/>
      <c r="C641" s="4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22.5" customHeight="1">
      <c r="A642" s="4"/>
      <c r="B642" s="21"/>
      <c r="C642" s="4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22.5" customHeight="1">
      <c r="A643" s="4"/>
      <c r="B643" s="21"/>
      <c r="C643" s="4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22.5" customHeight="1">
      <c r="A644" s="4"/>
      <c r="B644" s="21"/>
      <c r="C644" s="4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22.5" customHeight="1">
      <c r="A645" s="4"/>
      <c r="B645" s="21"/>
      <c r="C645" s="4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22.5" customHeight="1">
      <c r="A646" s="4"/>
      <c r="B646" s="21"/>
      <c r="C646" s="4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22.5" customHeight="1">
      <c r="A647" s="4"/>
      <c r="B647" s="21"/>
      <c r="C647" s="4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22.5" customHeight="1">
      <c r="A648" s="4"/>
      <c r="B648" s="21"/>
      <c r="C648" s="4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22.5" customHeight="1">
      <c r="A649" s="4"/>
      <c r="B649" s="21"/>
      <c r="C649" s="4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22.5" customHeight="1">
      <c r="A650" s="4"/>
      <c r="B650" s="21"/>
      <c r="C650" s="4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22.5" customHeight="1">
      <c r="A651" s="4"/>
      <c r="B651" s="21"/>
      <c r="C651" s="4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22.5" customHeight="1">
      <c r="A652" s="4"/>
      <c r="B652" s="21"/>
      <c r="C652" s="4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22.5" customHeight="1">
      <c r="A653" s="4"/>
      <c r="B653" s="21"/>
      <c r="C653" s="4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22.5" customHeight="1">
      <c r="A654" s="4"/>
      <c r="B654" s="21"/>
      <c r="C654" s="4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22.5" customHeight="1">
      <c r="A655" s="4"/>
      <c r="B655" s="21"/>
      <c r="C655" s="4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22.5" customHeight="1">
      <c r="A656" s="4"/>
      <c r="B656" s="21"/>
      <c r="C656" s="4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22.5" customHeight="1">
      <c r="A657" s="4"/>
      <c r="B657" s="21"/>
      <c r="C657" s="4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22.5" customHeight="1">
      <c r="A658" s="4"/>
      <c r="B658" s="21"/>
      <c r="C658" s="4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22.5" customHeight="1">
      <c r="A659" s="4"/>
      <c r="B659" s="21"/>
      <c r="C659" s="4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22.5" customHeight="1">
      <c r="A660" s="4"/>
      <c r="B660" s="21"/>
      <c r="C660" s="4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22.5" customHeight="1">
      <c r="A661" s="4"/>
      <c r="B661" s="21"/>
      <c r="C661" s="4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22.5" customHeight="1">
      <c r="A662" s="4"/>
      <c r="B662" s="21"/>
      <c r="C662" s="4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22.5" customHeight="1">
      <c r="A663" s="4"/>
      <c r="B663" s="21"/>
      <c r="C663" s="4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22.5" customHeight="1">
      <c r="A664" s="4"/>
      <c r="B664" s="21"/>
      <c r="C664" s="4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22.5" customHeight="1">
      <c r="A665" s="4"/>
      <c r="B665" s="21"/>
      <c r="C665" s="4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22.5" customHeight="1">
      <c r="A666" s="4"/>
      <c r="B666" s="21"/>
      <c r="C666" s="4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22.5" customHeight="1">
      <c r="A667" s="4"/>
      <c r="B667" s="21"/>
      <c r="C667" s="4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22.5" customHeight="1">
      <c r="A668" s="4"/>
      <c r="B668" s="21"/>
      <c r="C668" s="4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22.5" customHeight="1">
      <c r="A669" s="4"/>
      <c r="B669" s="21"/>
      <c r="C669" s="4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22.5" customHeight="1">
      <c r="A670" s="4"/>
      <c r="B670" s="21"/>
      <c r="C670" s="4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22.5" customHeight="1">
      <c r="A671" s="4"/>
      <c r="B671" s="21"/>
      <c r="C671" s="4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22.5" customHeight="1">
      <c r="A672" s="4"/>
      <c r="B672" s="21"/>
      <c r="C672" s="4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22.5" customHeight="1">
      <c r="A673" s="4"/>
      <c r="B673" s="21"/>
      <c r="C673" s="4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22.5" customHeight="1">
      <c r="A674" s="4"/>
      <c r="B674" s="21"/>
      <c r="C674" s="4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22.5" customHeight="1">
      <c r="A675" s="4"/>
      <c r="B675" s="21"/>
      <c r="C675" s="4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22.5" customHeight="1">
      <c r="A676" s="4"/>
      <c r="B676" s="21"/>
      <c r="C676" s="4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22.5" customHeight="1">
      <c r="A677" s="4"/>
      <c r="B677" s="21"/>
      <c r="C677" s="4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22.5" customHeight="1">
      <c r="A678" s="4"/>
      <c r="B678" s="21"/>
      <c r="C678" s="4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22.5" customHeight="1">
      <c r="A679" s="4"/>
      <c r="B679" s="21"/>
      <c r="C679" s="4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22.5" customHeight="1">
      <c r="A680" s="4"/>
      <c r="B680" s="21"/>
      <c r="C680" s="4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22.5" customHeight="1">
      <c r="A681" s="4"/>
      <c r="B681" s="21"/>
      <c r="C681" s="4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22.5" customHeight="1">
      <c r="A682" s="4"/>
      <c r="B682" s="21"/>
      <c r="C682" s="4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22.5" customHeight="1">
      <c r="A683" s="4"/>
      <c r="B683" s="21"/>
      <c r="C683" s="4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22.5" customHeight="1">
      <c r="A684" s="4"/>
      <c r="B684" s="21"/>
      <c r="C684" s="4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22.5" customHeight="1">
      <c r="A685" s="4"/>
      <c r="B685" s="21"/>
      <c r="C685" s="4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22.5" customHeight="1">
      <c r="A686" s="4"/>
      <c r="B686" s="21"/>
      <c r="C686" s="4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22.5" customHeight="1">
      <c r="A687" s="4"/>
      <c r="B687" s="21"/>
      <c r="C687" s="4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22.5" customHeight="1">
      <c r="A688" s="4"/>
      <c r="B688" s="21"/>
      <c r="C688" s="4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22.5" customHeight="1">
      <c r="A689" s="4"/>
      <c r="B689" s="21"/>
      <c r="C689" s="4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22.5" customHeight="1">
      <c r="A690" s="4"/>
      <c r="B690" s="21"/>
      <c r="C690" s="4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22.5" customHeight="1">
      <c r="A691" s="4"/>
      <c r="B691" s="21"/>
      <c r="C691" s="4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22.5" customHeight="1">
      <c r="A692" s="4"/>
      <c r="B692" s="21"/>
      <c r="C692" s="4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22.5" customHeight="1">
      <c r="A693" s="4"/>
      <c r="B693" s="21"/>
      <c r="C693" s="4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22.5" customHeight="1">
      <c r="A694" s="4"/>
      <c r="B694" s="21"/>
      <c r="C694" s="4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22.5" customHeight="1">
      <c r="A695" s="4"/>
      <c r="B695" s="21"/>
      <c r="C695" s="4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22.5" customHeight="1">
      <c r="A696" s="4"/>
      <c r="B696" s="21"/>
      <c r="C696" s="4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22.5" customHeight="1">
      <c r="A697" s="4"/>
      <c r="B697" s="21"/>
      <c r="C697" s="4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22.5" customHeight="1">
      <c r="A698" s="4"/>
      <c r="B698" s="21"/>
      <c r="C698" s="4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22.5" customHeight="1">
      <c r="A699" s="4"/>
      <c r="B699" s="21"/>
      <c r="C699" s="4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22.5" customHeight="1">
      <c r="A700" s="4"/>
      <c r="B700" s="21"/>
      <c r="C700" s="4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22.5" customHeight="1">
      <c r="A701" s="4"/>
      <c r="B701" s="21"/>
      <c r="C701" s="4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22.5" customHeight="1">
      <c r="A702" s="4"/>
      <c r="B702" s="21"/>
      <c r="C702" s="4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22.5" customHeight="1">
      <c r="A703" s="4"/>
      <c r="B703" s="21"/>
      <c r="C703" s="4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22.5" customHeight="1">
      <c r="A704" s="4"/>
      <c r="B704" s="21"/>
      <c r="C704" s="4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22.5" customHeight="1">
      <c r="A705" s="4"/>
      <c r="B705" s="21"/>
      <c r="C705" s="4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22.5" customHeight="1">
      <c r="A706" s="4"/>
      <c r="B706" s="21"/>
      <c r="C706" s="4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22.5" customHeight="1">
      <c r="A707" s="4"/>
      <c r="B707" s="21"/>
      <c r="C707" s="4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22.5" customHeight="1">
      <c r="A708" s="4"/>
      <c r="B708" s="21"/>
      <c r="C708" s="4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22.5" customHeight="1">
      <c r="A709" s="4"/>
      <c r="B709" s="21"/>
      <c r="C709" s="4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22.5" customHeight="1">
      <c r="A710" s="4"/>
      <c r="B710" s="21"/>
      <c r="C710" s="4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22.5" customHeight="1">
      <c r="A711" s="4"/>
      <c r="B711" s="21"/>
      <c r="C711" s="4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22.5" customHeight="1">
      <c r="A712" s="4"/>
      <c r="B712" s="21"/>
      <c r="C712" s="4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22.5" customHeight="1">
      <c r="A713" s="4"/>
      <c r="B713" s="21"/>
      <c r="C713" s="4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22.5" customHeight="1">
      <c r="A714" s="4"/>
      <c r="B714" s="21"/>
      <c r="C714" s="4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22.5" customHeight="1">
      <c r="A715" s="4"/>
      <c r="B715" s="21"/>
      <c r="C715" s="4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22.5" customHeight="1">
      <c r="A716" s="4"/>
      <c r="B716" s="21"/>
      <c r="C716" s="4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22.5" customHeight="1">
      <c r="A717" s="4"/>
      <c r="B717" s="21"/>
      <c r="C717" s="4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22.5" customHeight="1">
      <c r="A718" s="4"/>
      <c r="B718" s="21"/>
      <c r="C718" s="4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22.5" customHeight="1">
      <c r="A719" s="4"/>
      <c r="B719" s="21"/>
      <c r="C719" s="4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22.5" customHeight="1">
      <c r="A720" s="4"/>
      <c r="B720" s="21"/>
      <c r="C720" s="4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22.5" customHeight="1">
      <c r="A721" s="4"/>
      <c r="B721" s="21"/>
      <c r="C721" s="4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22.5" customHeight="1">
      <c r="A722" s="4"/>
      <c r="B722" s="21"/>
      <c r="C722" s="4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22.5" customHeight="1">
      <c r="A723" s="4"/>
      <c r="B723" s="21"/>
      <c r="C723" s="4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22.5" customHeight="1">
      <c r="A724" s="4"/>
      <c r="B724" s="21"/>
      <c r="C724" s="4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22.5" customHeight="1">
      <c r="A725" s="4"/>
      <c r="B725" s="21"/>
      <c r="C725" s="4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22.5" customHeight="1">
      <c r="A726" s="4"/>
      <c r="B726" s="21"/>
      <c r="C726" s="4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22.5" customHeight="1">
      <c r="A727" s="4"/>
      <c r="B727" s="21"/>
      <c r="C727" s="4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22.5" customHeight="1">
      <c r="A728" s="4"/>
      <c r="B728" s="21"/>
      <c r="C728" s="4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22.5" customHeight="1">
      <c r="A729" s="4"/>
      <c r="B729" s="21"/>
      <c r="C729" s="4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22.5" customHeight="1">
      <c r="A730" s="4"/>
      <c r="B730" s="21"/>
      <c r="C730" s="4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22.5" customHeight="1">
      <c r="A731" s="4"/>
      <c r="B731" s="21"/>
      <c r="C731" s="4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22.5" customHeight="1">
      <c r="A732" s="4"/>
      <c r="B732" s="21"/>
      <c r="C732" s="4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22.5" customHeight="1">
      <c r="A733" s="4"/>
      <c r="B733" s="21"/>
      <c r="C733" s="4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22.5" customHeight="1">
      <c r="A734" s="4"/>
      <c r="B734" s="21"/>
      <c r="C734" s="4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22.5" customHeight="1">
      <c r="A735" s="4"/>
      <c r="B735" s="21"/>
      <c r="C735" s="4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22.5" customHeight="1">
      <c r="A736" s="4"/>
      <c r="B736" s="21"/>
      <c r="C736" s="4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22.5" customHeight="1">
      <c r="A737" s="4"/>
      <c r="B737" s="21"/>
      <c r="C737" s="4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22.5" customHeight="1">
      <c r="A738" s="4"/>
      <c r="B738" s="21"/>
      <c r="C738" s="4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22.5" customHeight="1">
      <c r="A739" s="4"/>
      <c r="B739" s="21"/>
      <c r="C739" s="4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22.5" customHeight="1">
      <c r="A740" s="4"/>
      <c r="B740" s="21"/>
      <c r="C740" s="4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22.5" customHeight="1">
      <c r="A741" s="4"/>
      <c r="B741" s="21"/>
      <c r="C741" s="4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22.5" customHeight="1">
      <c r="A742" s="4"/>
      <c r="B742" s="21"/>
      <c r="C742" s="4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22.5" customHeight="1">
      <c r="A743" s="4"/>
      <c r="B743" s="21"/>
      <c r="C743" s="4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22.5" customHeight="1">
      <c r="A744" s="4"/>
      <c r="B744" s="21"/>
      <c r="C744" s="4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22.5" customHeight="1">
      <c r="A745" s="4"/>
      <c r="B745" s="21"/>
      <c r="C745" s="4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22.5" customHeight="1">
      <c r="A746" s="4"/>
      <c r="B746" s="21"/>
      <c r="C746" s="4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22.5" customHeight="1">
      <c r="A747" s="4"/>
      <c r="B747" s="21"/>
      <c r="C747" s="4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22.5" customHeight="1">
      <c r="A748" s="4"/>
      <c r="B748" s="21"/>
      <c r="C748" s="4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22.5" customHeight="1">
      <c r="A749" s="4"/>
      <c r="B749" s="21"/>
      <c r="C749" s="4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22.5" customHeight="1">
      <c r="A750" s="4"/>
      <c r="B750" s="21"/>
      <c r="C750" s="4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22.5" customHeight="1">
      <c r="A751" s="4"/>
      <c r="B751" s="21"/>
      <c r="C751" s="4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22.5" customHeight="1">
      <c r="A752" s="4"/>
      <c r="B752" s="21"/>
      <c r="C752" s="4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22.5" customHeight="1">
      <c r="A753" s="4"/>
      <c r="B753" s="21"/>
      <c r="C753" s="4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22.5" customHeight="1">
      <c r="A754" s="4"/>
      <c r="B754" s="21"/>
      <c r="C754" s="4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22.5" customHeight="1">
      <c r="A755" s="4"/>
      <c r="B755" s="21"/>
      <c r="C755" s="4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22.5" customHeight="1">
      <c r="A756" s="4"/>
      <c r="B756" s="21"/>
      <c r="C756" s="4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22.5" customHeight="1">
      <c r="A757" s="4"/>
      <c r="B757" s="21"/>
      <c r="C757" s="4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22.5" customHeight="1">
      <c r="A758" s="4"/>
      <c r="B758" s="21"/>
      <c r="C758" s="4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22.5" customHeight="1">
      <c r="A759" s="4"/>
      <c r="B759" s="21"/>
      <c r="C759" s="4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22.5" customHeight="1">
      <c r="A760" s="4"/>
      <c r="B760" s="21"/>
      <c r="C760" s="4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22.5" customHeight="1">
      <c r="A761" s="4"/>
      <c r="B761" s="21"/>
      <c r="C761" s="4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22.5" customHeight="1">
      <c r="A762" s="4"/>
      <c r="B762" s="21"/>
      <c r="C762" s="4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22.5" customHeight="1">
      <c r="A763" s="4"/>
      <c r="B763" s="21"/>
      <c r="C763" s="4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22.5" customHeight="1">
      <c r="A764" s="4"/>
      <c r="B764" s="21"/>
      <c r="C764" s="4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22.5" customHeight="1">
      <c r="A765" s="4"/>
      <c r="B765" s="21"/>
      <c r="C765" s="4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22.5" customHeight="1">
      <c r="A766" s="4"/>
      <c r="B766" s="21"/>
      <c r="C766" s="4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22.5" customHeight="1">
      <c r="A767" s="4"/>
      <c r="B767" s="21"/>
      <c r="C767" s="4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22.5" customHeight="1">
      <c r="A768" s="4"/>
      <c r="B768" s="21"/>
      <c r="C768" s="4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22.5" customHeight="1">
      <c r="A769" s="4"/>
      <c r="B769" s="21"/>
      <c r="C769" s="4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22.5" customHeight="1">
      <c r="A770" s="4"/>
      <c r="B770" s="21"/>
      <c r="C770" s="4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22.5" customHeight="1">
      <c r="A771" s="4"/>
      <c r="B771" s="21"/>
      <c r="C771" s="4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22.5" customHeight="1">
      <c r="A772" s="4"/>
      <c r="B772" s="21"/>
      <c r="C772" s="4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22.5" customHeight="1">
      <c r="A773" s="4"/>
      <c r="B773" s="21"/>
      <c r="C773" s="4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22.5" customHeight="1">
      <c r="A774" s="4"/>
      <c r="B774" s="21"/>
      <c r="C774" s="4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22.5" customHeight="1">
      <c r="A775" s="4"/>
      <c r="B775" s="21"/>
      <c r="C775" s="4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22.5" customHeight="1">
      <c r="A776" s="4"/>
      <c r="B776" s="21"/>
      <c r="C776" s="4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22.5" customHeight="1">
      <c r="A777" s="4"/>
      <c r="B777" s="21"/>
      <c r="C777" s="4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22.5" customHeight="1">
      <c r="A778" s="4"/>
      <c r="B778" s="21"/>
      <c r="C778" s="4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22.5" customHeight="1">
      <c r="A779" s="4"/>
      <c r="B779" s="21"/>
      <c r="C779" s="4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22.5" customHeight="1">
      <c r="A780" s="4"/>
      <c r="B780" s="21"/>
      <c r="C780" s="4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22.5" customHeight="1">
      <c r="A781" s="4"/>
      <c r="B781" s="21"/>
      <c r="C781" s="4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22.5" customHeight="1">
      <c r="A782" s="4"/>
      <c r="B782" s="21"/>
      <c r="C782" s="4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22.5" customHeight="1">
      <c r="A783" s="4"/>
      <c r="B783" s="21"/>
      <c r="C783" s="4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22.5" customHeight="1">
      <c r="A784" s="4"/>
      <c r="B784" s="21"/>
      <c r="C784" s="4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22.5" customHeight="1">
      <c r="A785" s="4"/>
      <c r="B785" s="21"/>
      <c r="C785" s="4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22.5" customHeight="1">
      <c r="A786" s="4"/>
      <c r="B786" s="21"/>
      <c r="C786" s="4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22.5" customHeight="1">
      <c r="A787" s="4"/>
      <c r="B787" s="21"/>
      <c r="C787" s="4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22.5" customHeight="1">
      <c r="A788" s="4"/>
      <c r="B788" s="21"/>
      <c r="C788" s="4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22.5" customHeight="1">
      <c r="A789" s="4"/>
      <c r="B789" s="21"/>
      <c r="C789" s="4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22.5" customHeight="1">
      <c r="A790" s="4"/>
      <c r="B790" s="21"/>
      <c r="C790" s="4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22.5" customHeight="1">
      <c r="A791" s="4"/>
      <c r="B791" s="21"/>
      <c r="C791" s="4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22.5" customHeight="1">
      <c r="A792" s="4"/>
      <c r="B792" s="21"/>
      <c r="C792" s="4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22.5" customHeight="1">
      <c r="A793" s="4"/>
      <c r="B793" s="21"/>
      <c r="C793" s="4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22.5" customHeight="1">
      <c r="A794" s="4"/>
      <c r="B794" s="21"/>
      <c r="C794" s="4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22.5" customHeight="1">
      <c r="A795" s="4"/>
      <c r="B795" s="21"/>
      <c r="C795" s="4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22.5" customHeight="1">
      <c r="A796" s="4"/>
      <c r="B796" s="21"/>
      <c r="C796" s="4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22.5" customHeight="1">
      <c r="A797" s="4"/>
      <c r="B797" s="21"/>
      <c r="C797" s="4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22.5" customHeight="1">
      <c r="A798" s="4"/>
      <c r="B798" s="21"/>
      <c r="C798" s="4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22.5" customHeight="1">
      <c r="A799" s="4"/>
      <c r="B799" s="21"/>
      <c r="C799" s="4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22.5" customHeight="1">
      <c r="A800" s="4"/>
      <c r="B800" s="21"/>
      <c r="C800" s="4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22.5" customHeight="1">
      <c r="A801" s="4"/>
      <c r="B801" s="21"/>
      <c r="C801" s="4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22.5" customHeight="1">
      <c r="A802" s="4"/>
      <c r="B802" s="21"/>
      <c r="C802" s="4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22.5" customHeight="1">
      <c r="A803" s="4"/>
      <c r="B803" s="21"/>
      <c r="C803" s="4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22.5" customHeight="1">
      <c r="A804" s="4"/>
      <c r="B804" s="21"/>
      <c r="C804" s="4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22.5" customHeight="1">
      <c r="A805" s="4"/>
      <c r="B805" s="21"/>
      <c r="C805" s="4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22.5" customHeight="1">
      <c r="A806" s="4"/>
      <c r="B806" s="21"/>
      <c r="C806" s="4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22.5" customHeight="1">
      <c r="A807" s="4"/>
      <c r="B807" s="21"/>
      <c r="C807" s="4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22.5" customHeight="1">
      <c r="A808" s="4"/>
      <c r="B808" s="21"/>
      <c r="C808" s="4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22.5" customHeight="1">
      <c r="A809" s="4"/>
      <c r="B809" s="21"/>
      <c r="C809" s="4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22.5" customHeight="1">
      <c r="A810" s="4"/>
      <c r="B810" s="21"/>
      <c r="C810" s="4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22.5" customHeight="1">
      <c r="A811" s="4"/>
      <c r="B811" s="21"/>
      <c r="C811" s="4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22.5" customHeight="1">
      <c r="A812" s="4"/>
      <c r="B812" s="21"/>
      <c r="C812" s="4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22.5" customHeight="1">
      <c r="A813" s="4"/>
      <c r="B813" s="21"/>
      <c r="C813" s="4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22.5" customHeight="1">
      <c r="A814" s="4"/>
      <c r="B814" s="21"/>
      <c r="C814" s="4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22.5" customHeight="1">
      <c r="A815" s="4"/>
      <c r="B815" s="21"/>
      <c r="C815" s="4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22.5" customHeight="1">
      <c r="A816" s="4"/>
      <c r="B816" s="21"/>
      <c r="C816" s="4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22.5" customHeight="1">
      <c r="A817" s="4"/>
      <c r="B817" s="21"/>
      <c r="C817" s="4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22.5" customHeight="1">
      <c r="A818" s="4"/>
      <c r="B818" s="21"/>
      <c r="C818" s="4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22.5" customHeight="1">
      <c r="A819" s="4"/>
      <c r="B819" s="21"/>
      <c r="C819" s="4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22.5" customHeight="1">
      <c r="A820" s="4"/>
      <c r="B820" s="21"/>
      <c r="C820" s="4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22.5" customHeight="1">
      <c r="A821" s="4"/>
      <c r="B821" s="21"/>
      <c r="C821" s="4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22.5" customHeight="1">
      <c r="A822" s="4"/>
      <c r="B822" s="21"/>
      <c r="C822" s="4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22.5" customHeight="1">
      <c r="A823" s="4"/>
      <c r="B823" s="21"/>
      <c r="C823" s="4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22.5" customHeight="1">
      <c r="A824" s="4"/>
      <c r="B824" s="21"/>
      <c r="C824" s="4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22.5" customHeight="1">
      <c r="A825" s="4"/>
      <c r="B825" s="21"/>
      <c r="C825" s="4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22.5" customHeight="1">
      <c r="A826" s="4"/>
      <c r="B826" s="21"/>
      <c r="C826" s="4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22.5" customHeight="1">
      <c r="A827" s="4"/>
      <c r="B827" s="21"/>
      <c r="C827" s="4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22.5" customHeight="1">
      <c r="A828" s="4"/>
      <c r="B828" s="21"/>
      <c r="C828" s="4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22.5" customHeight="1">
      <c r="A829" s="4"/>
      <c r="B829" s="21"/>
      <c r="C829" s="4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22.5" customHeight="1">
      <c r="A830" s="4"/>
      <c r="B830" s="21"/>
      <c r="C830" s="4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22.5" customHeight="1">
      <c r="A831" s="4"/>
      <c r="B831" s="21"/>
      <c r="C831" s="4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22.5" customHeight="1">
      <c r="A832" s="4"/>
      <c r="B832" s="21"/>
      <c r="C832" s="4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22.5" customHeight="1">
      <c r="A833" s="4"/>
      <c r="B833" s="21"/>
      <c r="C833" s="4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22.5" customHeight="1">
      <c r="A834" s="4"/>
      <c r="B834" s="21"/>
      <c r="C834" s="4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22.5" customHeight="1">
      <c r="A835" s="4"/>
      <c r="B835" s="21"/>
      <c r="C835" s="4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22.5" customHeight="1">
      <c r="A836" s="4"/>
      <c r="B836" s="21"/>
      <c r="C836" s="4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22.5" customHeight="1">
      <c r="A837" s="4"/>
      <c r="B837" s="21"/>
      <c r="C837" s="4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22.5" customHeight="1">
      <c r="A838" s="4"/>
      <c r="B838" s="21"/>
      <c r="C838" s="4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22.5" customHeight="1">
      <c r="A839" s="4"/>
      <c r="B839" s="21"/>
      <c r="C839" s="4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22.5" customHeight="1">
      <c r="A840" s="4"/>
      <c r="B840" s="21"/>
      <c r="C840" s="4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22.5" customHeight="1">
      <c r="A841" s="4"/>
      <c r="B841" s="21"/>
      <c r="C841" s="4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22.5" customHeight="1">
      <c r="A842" s="4"/>
      <c r="B842" s="21"/>
      <c r="C842" s="4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22.5" customHeight="1">
      <c r="A843" s="4"/>
      <c r="B843" s="21"/>
      <c r="C843" s="4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22.5" customHeight="1">
      <c r="A844" s="4"/>
      <c r="B844" s="21"/>
      <c r="C844" s="4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22.5" customHeight="1">
      <c r="A845" s="4"/>
      <c r="B845" s="21"/>
      <c r="C845" s="4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22.5" customHeight="1">
      <c r="A846" s="4"/>
      <c r="B846" s="21"/>
      <c r="C846" s="4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22.5" customHeight="1">
      <c r="A847" s="4"/>
      <c r="B847" s="21"/>
      <c r="C847" s="4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22.5" customHeight="1">
      <c r="A848" s="4"/>
      <c r="B848" s="21"/>
      <c r="C848" s="4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22.5" customHeight="1">
      <c r="A849" s="4"/>
      <c r="B849" s="21"/>
      <c r="C849" s="4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22.5" customHeight="1">
      <c r="A850" s="4"/>
      <c r="B850" s="21"/>
      <c r="C850" s="4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22.5" customHeight="1">
      <c r="A851" s="4"/>
      <c r="B851" s="21"/>
      <c r="C851" s="4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22.5" customHeight="1">
      <c r="A852" s="4"/>
      <c r="B852" s="21"/>
      <c r="C852" s="4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22.5" customHeight="1">
      <c r="A853" s="4"/>
      <c r="B853" s="21"/>
      <c r="C853" s="4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22.5" customHeight="1">
      <c r="A854" s="4"/>
      <c r="B854" s="21"/>
      <c r="C854" s="4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22.5" customHeight="1">
      <c r="A855" s="4"/>
      <c r="B855" s="21"/>
      <c r="C855" s="4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22.5" customHeight="1">
      <c r="A856" s="4"/>
      <c r="B856" s="21"/>
      <c r="C856" s="4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22.5" customHeight="1">
      <c r="A857" s="4"/>
      <c r="B857" s="21"/>
      <c r="C857" s="4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22.5" customHeight="1">
      <c r="A858" s="4"/>
      <c r="B858" s="21"/>
      <c r="C858" s="4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22.5" customHeight="1">
      <c r="A859" s="4"/>
      <c r="B859" s="21"/>
      <c r="C859" s="4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22.5" customHeight="1">
      <c r="A860" s="4"/>
      <c r="B860" s="21"/>
      <c r="C860" s="4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22.5" customHeight="1">
      <c r="A861" s="4"/>
      <c r="B861" s="21"/>
      <c r="C861" s="4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22.5" customHeight="1">
      <c r="A862" s="4"/>
      <c r="B862" s="21"/>
      <c r="C862" s="4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22.5" customHeight="1">
      <c r="A863" s="4"/>
      <c r="B863" s="21"/>
      <c r="C863" s="4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22.5" customHeight="1">
      <c r="A864" s="4"/>
      <c r="B864" s="21"/>
      <c r="C864" s="4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22.5" customHeight="1">
      <c r="A865" s="4"/>
      <c r="B865" s="21"/>
      <c r="C865" s="4"/>
      <c r="D865" s="2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22.5" customHeight="1">
      <c r="A866" s="4"/>
      <c r="B866" s="21"/>
      <c r="C866" s="4"/>
      <c r="D866" s="2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22.5" customHeight="1">
      <c r="A867" s="4"/>
      <c r="B867" s="21"/>
      <c r="C867" s="4"/>
      <c r="D867" s="2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22.5" customHeight="1">
      <c r="A868" s="4"/>
      <c r="B868" s="21"/>
      <c r="C868" s="4"/>
      <c r="D868" s="2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22.5" customHeight="1">
      <c r="A869" s="4"/>
      <c r="B869" s="21"/>
      <c r="C869" s="4"/>
      <c r="D869" s="2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22.5" customHeight="1">
      <c r="A870" s="4"/>
      <c r="B870" s="21"/>
      <c r="C870" s="4"/>
      <c r="D870" s="2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22.5" customHeight="1">
      <c r="A871" s="4"/>
      <c r="B871" s="21"/>
      <c r="C871" s="4"/>
      <c r="D871" s="2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22.5" customHeight="1">
      <c r="A872" s="4"/>
      <c r="B872" s="21"/>
      <c r="C872" s="4"/>
      <c r="D872" s="2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22.5" customHeight="1">
      <c r="A873" s="4"/>
      <c r="B873" s="21"/>
      <c r="C873" s="4"/>
      <c r="D873" s="2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22.5" customHeight="1">
      <c r="A874" s="4"/>
      <c r="B874" s="21"/>
      <c r="C874" s="4"/>
      <c r="D874" s="2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22.5" customHeight="1">
      <c r="A875" s="4"/>
      <c r="B875" s="21"/>
      <c r="C875" s="4"/>
      <c r="D875" s="2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22.5" customHeight="1">
      <c r="A876" s="4"/>
      <c r="B876" s="21"/>
      <c r="C876" s="4"/>
      <c r="D876" s="2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22.5" customHeight="1">
      <c r="A877" s="4"/>
      <c r="B877" s="21"/>
      <c r="C877" s="4"/>
      <c r="D877" s="2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22.5" customHeight="1">
      <c r="A878" s="4"/>
      <c r="B878" s="21"/>
      <c r="C878" s="4"/>
      <c r="D878" s="2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22.5" customHeight="1">
      <c r="A879" s="4"/>
      <c r="B879" s="21"/>
      <c r="C879" s="4"/>
      <c r="D879" s="2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22.5" customHeight="1">
      <c r="A880" s="4"/>
      <c r="B880" s="21"/>
      <c r="C880" s="4"/>
      <c r="D880" s="2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22.5" customHeight="1">
      <c r="A881" s="4"/>
      <c r="B881" s="21"/>
      <c r="C881" s="4"/>
      <c r="D881" s="2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22.5" customHeight="1">
      <c r="A882" s="4"/>
      <c r="B882" s="21"/>
      <c r="C882" s="4"/>
      <c r="D882" s="2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22.5" customHeight="1">
      <c r="A883" s="4"/>
      <c r="B883" s="21"/>
      <c r="C883" s="4"/>
      <c r="D883" s="2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22.5" customHeight="1">
      <c r="A884" s="4"/>
      <c r="B884" s="21"/>
      <c r="C884" s="4"/>
      <c r="D884" s="2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22.5" customHeight="1">
      <c r="A885" s="4"/>
      <c r="B885" s="21"/>
      <c r="C885" s="4"/>
      <c r="D885" s="2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22.5" customHeight="1">
      <c r="A886" s="4"/>
      <c r="B886" s="21"/>
      <c r="C886" s="4"/>
      <c r="D886" s="2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22.5" customHeight="1">
      <c r="A887" s="4"/>
      <c r="B887" s="21"/>
      <c r="C887" s="4"/>
      <c r="D887" s="2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22.5" customHeight="1">
      <c r="A888" s="4"/>
      <c r="B888" s="21"/>
      <c r="C888" s="4"/>
      <c r="D888" s="2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22.5" customHeight="1">
      <c r="A889" s="4"/>
      <c r="B889" s="21"/>
      <c r="C889" s="4"/>
      <c r="D889" s="2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22.5" customHeight="1">
      <c r="A890" s="4"/>
      <c r="B890" s="21"/>
      <c r="C890" s="4"/>
      <c r="D890" s="2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22.5" customHeight="1">
      <c r="A891" s="4"/>
      <c r="B891" s="21"/>
      <c r="C891" s="4"/>
      <c r="D891" s="2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22.5" customHeight="1">
      <c r="A892" s="4"/>
      <c r="B892" s="21"/>
      <c r="C892" s="4"/>
      <c r="D892" s="2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22.5" customHeight="1">
      <c r="A893" s="4"/>
      <c r="B893" s="21"/>
      <c r="C893" s="4"/>
      <c r="D893" s="2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22.5" customHeight="1">
      <c r="A894" s="4"/>
      <c r="B894" s="21"/>
      <c r="C894" s="4"/>
      <c r="D894" s="2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22.5" customHeight="1">
      <c r="A895" s="4"/>
      <c r="B895" s="21"/>
      <c r="C895" s="4"/>
      <c r="D895" s="2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22.5" customHeight="1">
      <c r="A896" s="4"/>
      <c r="B896" s="21"/>
      <c r="C896" s="4"/>
      <c r="D896" s="2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22.5" customHeight="1">
      <c r="A897" s="4"/>
      <c r="B897" s="21"/>
      <c r="C897" s="4"/>
      <c r="D897" s="2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22.5" customHeight="1">
      <c r="A898" s="4"/>
      <c r="B898" s="21"/>
      <c r="C898" s="4"/>
      <c r="D898" s="2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22.5" customHeight="1">
      <c r="A899" s="4"/>
      <c r="B899" s="21"/>
      <c r="C899" s="4"/>
      <c r="D899" s="2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22.5" customHeight="1">
      <c r="A900" s="4"/>
      <c r="B900" s="21"/>
      <c r="C900" s="4"/>
      <c r="D900" s="2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22.5" customHeight="1">
      <c r="A901" s="4"/>
      <c r="B901" s="21"/>
      <c r="C901" s="4"/>
      <c r="D901" s="2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22.5" customHeight="1">
      <c r="A902" s="4"/>
      <c r="B902" s="21"/>
      <c r="C902" s="4"/>
      <c r="D902" s="2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22.5" customHeight="1">
      <c r="A903" s="4"/>
      <c r="B903" s="21"/>
      <c r="C903" s="4"/>
      <c r="D903" s="2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22.5" customHeight="1">
      <c r="A904" s="4"/>
      <c r="B904" s="21"/>
      <c r="C904" s="4"/>
      <c r="D904" s="2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22.5" customHeight="1">
      <c r="A905" s="4"/>
      <c r="B905" s="21"/>
      <c r="C905" s="4"/>
      <c r="D905" s="2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22.5" customHeight="1">
      <c r="A906" s="4"/>
      <c r="B906" s="21"/>
      <c r="C906" s="4"/>
      <c r="D906" s="2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22.5" customHeight="1">
      <c r="A907" s="4"/>
      <c r="B907" s="21"/>
      <c r="C907" s="4"/>
      <c r="D907" s="2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22.5" customHeight="1">
      <c r="A908" s="4"/>
      <c r="B908" s="21"/>
      <c r="C908" s="4"/>
      <c r="D908" s="2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22.5" customHeight="1">
      <c r="A909" s="4"/>
      <c r="B909" s="21"/>
      <c r="C909" s="4"/>
      <c r="D909" s="2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22.5" customHeight="1">
      <c r="A910" s="4"/>
      <c r="B910" s="21"/>
      <c r="C910" s="4"/>
      <c r="D910" s="2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22.5" customHeight="1">
      <c r="A911" s="4"/>
      <c r="B911" s="21"/>
      <c r="C911" s="4"/>
      <c r="D911" s="2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22.5" customHeight="1">
      <c r="A912" s="4"/>
      <c r="B912" s="21"/>
      <c r="C912" s="4"/>
      <c r="D912" s="2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22.5" customHeight="1">
      <c r="A913" s="4"/>
      <c r="B913" s="21"/>
      <c r="C913" s="4"/>
      <c r="D913" s="2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22.5" customHeight="1">
      <c r="A914" s="4"/>
      <c r="B914" s="21"/>
      <c r="C914" s="4"/>
      <c r="D914" s="2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22.5" customHeight="1">
      <c r="A915" s="4"/>
      <c r="B915" s="21"/>
      <c r="C915" s="4"/>
      <c r="D915" s="2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22.5" customHeight="1">
      <c r="A916" s="4"/>
      <c r="B916" s="21"/>
      <c r="C916" s="4"/>
      <c r="D916" s="2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22.5" customHeight="1">
      <c r="A917" s="4"/>
      <c r="B917" s="21"/>
      <c r="C917" s="4"/>
      <c r="D917" s="2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22.5" customHeight="1">
      <c r="A918" s="4"/>
      <c r="B918" s="21"/>
      <c r="C918" s="4"/>
      <c r="D918" s="2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22.5" customHeight="1">
      <c r="A919" s="4"/>
      <c r="B919" s="21"/>
      <c r="C919" s="4"/>
      <c r="D919" s="2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22.5" customHeight="1">
      <c r="A920" s="4"/>
      <c r="B920" s="21"/>
      <c r="C920" s="4"/>
      <c r="D920" s="2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22.5" customHeight="1">
      <c r="A921" s="4"/>
      <c r="B921" s="21"/>
      <c r="C921" s="4"/>
      <c r="D921" s="2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22.5" customHeight="1">
      <c r="A922" s="4"/>
      <c r="B922" s="21"/>
      <c r="C922" s="4"/>
      <c r="D922" s="2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22.5" customHeight="1">
      <c r="A923" s="4"/>
      <c r="B923" s="21"/>
      <c r="C923" s="4"/>
      <c r="D923" s="2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22.5" customHeight="1">
      <c r="A924" s="4"/>
      <c r="B924" s="21"/>
      <c r="C924" s="4"/>
      <c r="D924" s="2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22.5" customHeight="1">
      <c r="A925" s="4"/>
      <c r="B925" s="21"/>
      <c r="C925" s="4"/>
      <c r="D925" s="2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22.5" customHeight="1">
      <c r="A926" s="4"/>
      <c r="B926" s="21"/>
      <c r="C926" s="4"/>
      <c r="D926" s="2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22.5" customHeight="1">
      <c r="A927" s="4"/>
      <c r="B927" s="21"/>
      <c r="C927" s="4"/>
      <c r="D927" s="2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22.5" customHeight="1">
      <c r="A928" s="4"/>
      <c r="B928" s="21"/>
      <c r="C928" s="4"/>
      <c r="D928" s="2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22.5" customHeight="1">
      <c r="A929" s="4"/>
      <c r="B929" s="21"/>
      <c r="C929" s="4"/>
      <c r="D929" s="2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22.5" customHeight="1">
      <c r="A930" s="4"/>
      <c r="B930" s="21"/>
      <c r="C930" s="4"/>
      <c r="D930" s="2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22.5" customHeight="1">
      <c r="A931" s="4"/>
      <c r="B931" s="21"/>
      <c r="C931" s="4"/>
      <c r="D931" s="2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22.5" customHeight="1">
      <c r="A932" s="4"/>
      <c r="B932" s="21"/>
      <c r="C932" s="4"/>
      <c r="D932" s="2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22.5" customHeight="1">
      <c r="A933" s="4"/>
      <c r="B933" s="21"/>
      <c r="C933" s="4"/>
      <c r="D933" s="2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22.5" customHeight="1">
      <c r="A934" s="4"/>
      <c r="B934" s="21"/>
      <c r="C934" s="4"/>
      <c r="D934" s="2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22.5" customHeight="1">
      <c r="A935" s="4"/>
      <c r="B935" s="21"/>
      <c r="C935" s="4"/>
      <c r="D935" s="2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22.5" customHeight="1">
      <c r="A936" s="4"/>
      <c r="B936" s="21"/>
      <c r="C936" s="4"/>
      <c r="D936" s="2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22.5" customHeight="1">
      <c r="A937" s="4"/>
      <c r="B937" s="21"/>
      <c r="C937" s="4"/>
      <c r="D937" s="2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22.5" customHeight="1">
      <c r="A938" s="4"/>
      <c r="B938" s="21"/>
      <c r="C938" s="4"/>
      <c r="D938" s="2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22.5" customHeight="1">
      <c r="A939" s="4"/>
      <c r="B939" s="21"/>
      <c r="C939" s="4"/>
      <c r="D939" s="2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22.5" customHeight="1">
      <c r="A940" s="4"/>
      <c r="B940" s="21"/>
      <c r="C940" s="4"/>
      <c r="D940" s="2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22.5" customHeight="1">
      <c r="A941" s="4"/>
      <c r="B941" s="21"/>
      <c r="C941" s="4"/>
      <c r="D941" s="2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22.5" customHeight="1">
      <c r="A942" s="4"/>
      <c r="B942" s="21"/>
      <c r="C942" s="4"/>
      <c r="D942" s="2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22.5" customHeight="1">
      <c r="A943" s="4"/>
      <c r="B943" s="21"/>
      <c r="C943" s="4"/>
      <c r="D943" s="2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22.5" customHeight="1">
      <c r="A944" s="4"/>
      <c r="B944" s="21"/>
      <c r="C944" s="4"/>
      <c r="D944" s="2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22.5" customHeight="1">
      <c r="A945" s="4"/>
      <c r="B945" s="21"/>
      <c r="C945" s="4"/>
      <c r="D945" s="2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22.5" customHeight="1">
      <c r="A946" s="4"/>
      <c r="B946" s="21"/>
      <c r="C946" s="4"/>
      <c r="D946" s="2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22.5" customHeight="1">
      <c r="A947" s="4"/>
      <c r="B947" s="21"/>
      <c r="C947" s="4"/>
      <c r="D947" s="2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22.5" customHeight="1">
      <c r="A948" s="4"/>
      <c r="B948" s="21"/>
      <c r="C948" s="4"/>
      <c r="D948" s="2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22.5" customHeight="1">
      <c r="A949" s="4"/>
      <c r="B949" s="21"/>
      <c r="C949" s="4"/>
      <c r="D949" s="2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22.5" customHeight="1">
      <c r="A950" s="4"/>
      <c r="B950" s="21"/>
      <c r="C950" s="4"/>
      <c r="D950" s="2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22.5" customHeight="1">
      <c r="A951" s="4"/>
      <c r="B951" s="21"/>
      <c r="C951" s="4"/>
      <c r="D951" s="2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22.5" customHeight="1">
      <c r="A952" s="4"/>
      <c r="B952" s="21"/>
      <c r="C952" s="4"/>
      <c r="D952" s="2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22.5" customHeight="1">
      <c r="A953" s="4"/>
      <c r="B953" s="21"/>
      <c r="C953" s="4"/>
      <c r="D953" s="2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22.5" customHeight="1">
      <c r="A954" s="4"/>
      <c r="B954" s="21"/>
      <c r="C954" s="4"/>
      <c r="D954" s="2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22.5" customHeight="1">
      <c r="A955" s="4"/>
      <c r="B955" s="21"/>
      <c r="C955" s="4"/>
      <c r="D955" s="2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22.5" customHeight="1">
      <c r="A956" s="4"/>
      <c r="B956" s="21"/>
      <c r="C956" s="4"/>
      <c r="D956" s="2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22.5" customHeight="1">
      <c r="A957" s="4"/>
      <c r="B957" s="21"/>
      <c r="C957" s="4"/>
      <c r="D957" s="2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22.5" customHeight="1">
      <c r="A958" s="4"/>
      <c r="B958" s="21"/>
      <c r="C958" s="4"/>
      <c r="D958" s="2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22.5" customHeight="1">
      <c r="A959" s="4"/>
      <c r="B959" s="21"/>
      <c r="C959" s="4"/>
      <c r="D959" s="2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22.5" customHeight="1">
      <c r="A960" s="4"/>
      <c r="B960" s="21"/>
      <c r="C960" s="4"/>
      <c r="D960" s="2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22.5" customHeight="1">
      <c r="A961" s="4"/>
      <c r="B961" s="21"/>
      <c r="C961" s="4"/>
      <c r="D961" s="2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22.5" customHeight="1">
      <c r="A962" s="4"/>
      <c r="B962" s="21"/>
      <c r="C962" s="4"/>
      <c r="D962" s="2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22.5" customHeight="1">
      <c r="A963" s="4"/>
      <c r="B963" s="21"/>
      <c r="C963" s="4"/>
      <c r="D963" s="2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22.5" customHeight="1">
      <c r="A964" s="4"/>
      <c r="B964" s="21"/>
      <c r="C964" s="4"/>
      <c r="D964" s="2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22.5" customHeight="1">
      <c r="A965" s="4"/>
      <c r="B965" s="21"/>
      <c r="C965" s="4"/>
      <c r="D965" s="2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22.5" customHeight="1">
      <c r="A966" s="4"/>
      <c r="B966" s="21"/>
      <c r="C966" s="4"/>
      <c r="D966" s="2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22.5" customHeight="1">
      <c r="A967" s="4"/>
      <c r="B967" s="21"/>
      <c r="C967" s="4"/>
      <c r="D967" s="2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22.5" customHeight="1">
      <c r="A968" s="4"/>
      <c r="B968" s="21"/>
      <c r="C968" s="4"/>
      <c r="D968" s="2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22.5" customHeight="1">
      <c r="A969" s="4"/>
      <c r="B969" s="21"/>
      <c r="C969" s="4"/>
      <c r="D969" s="2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22.5" customHeight="1">
      <c r="A970" s="4"/>
      <c r="B970" s="21"/>
      <c r="C970" s="4"/>
      <c r="D970" s="2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22.5" customHeight="1">
      <c r="A971" s="4"/>
      <c r="B971" s="21"/>
      <c r="C971" s="4"/>
      <c r="D971" s="2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22.5" customHeight="1">
      <c r="A972" s="4"/>
      <c r="B972" s="21"/>
      <c r="C972" s="4"/>
      <c r="D972" s="2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22.5" customHeight="1">
      <c r="A973" s="4"/>
      <c r="B973" s="21"/>
      <c r="C973" s="4"/>
      <c r="D973" s="2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22.5" customHeight="1">
      <c r="A974" s="4"/>
      <c r="B974" s="21"/>
      <c r="C974" s="4"/>
      <c r="D974" s="2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22.5" customHeight="1">
      <c r="A975" s="4"/>
      <c r="B975" s="21"/>
      <c r="C975" s="4"/>
      <c r="D975" s="2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22.5" customHeight="1">
      <c r="A976" s="4"/>
      <c r="B976" s="21"/>
      <c r="C976" s="4"/>
      <c r="D976" s="2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22.5" customHeight="1">
      <c r="A977" s="4"/>
      <c r="B977" s="21"/>
      <c r="C977" s="4"/>
      <c r="D977" s="2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22.5" customHeight="1">
      <c r="A978" s="4"/>
      <c r="B978" s="21"/>
      <c r="C978" s="4"/>
      <c r="D978" s="2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22.5" customHeight="1">
      <c r="A979" s="4"/>
      <c r="B979" s="21"/>
      <c r="C979" s="4"/>
      <c r="D979" s="2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22.5" customHeight="1">
      <c r="A980" s="4"/>
      <c r="B980" s="21"/>
      <c r="C980" s="4"/>
      <c r="D980" s="2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22.5" customHeight="1">
      <c r="A981" s="4"/>
      <c r="B981" s="21"/>
      <c r="C981" s="4"/>
      <c r="D981" s="2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22.5" customHeight="1">
      <c r="A982" s="4"/>
      <c r="B982" s="21"/>
      <c r="C982" s="4"/>
      <c r="D982" s="2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</sheetData>
  <mergeCells count="9">
    <mergeCell ref="B22:C22"/>
    <mergeCell ref="B24:C24"/>
    <mergeCell ref="B2:C2"/>
    <mergeCell ref="B6:C6"/>
    <mergeCell ref="B8:C8"/>
    <mergeCell ref="B10:C10"/>
    <mergeCell ref="B14:C14"/>
    <mergeCell ref="B16:C16"/>
    <mergeCell ref="B18:C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8" width="12.63"/>
  </cols>
  <sheetData>
    <row r="1" ht="18.0" customHeight="1">
      <c r="A1" s="23"/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ht="18.0" customHeight="1">
      <c r="A2" s="26" t="s">
        <v>10</v>
      </c>
      <c r="B2" s="27">
        <v>5500.0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</row>
    <row r="3" ht="18.0" customHeight="1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ht="18.0" customHeight="1">
      <c r="A4" s="26" t="s">
        <v>11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ht="18.0" customHeight="1">
      <c r="A5" s="26" t="s">
        <v>12</v>
      </c>
      <c r="B5" s="26" t="s">
        <v>13</v>
      </c>
      <c r="C5" s="26" t="s">
        <v>14</v>
      </c>
      <c r="D5" s="26" t="s">
        <v>15</v>
      </c>
      <c r="E5" s="26" t="s">
        <v>16</v>
      </c>
      <c r="F5" s="26" t="s">
        <v>17</v>
      </c>
      <c r="G5" s="26" t="s">
        <v>18</v>
      </c>
      <c r="H5" s="26" t="s">
        <v>19</v>
      </c>
      <c r="I5" s="23"/>
      <c r="J5" s="23"/>
      <c r="K5" s="23"/>
      <c r="L5" s="23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ht="18.0" customHeight="1">
      <c r="A6" s="28">
        <f>$B$2/30%</f>
        <v>18333.33333</v>
      </c>
      <c r="B6" s="28">
        <f>$B$2/35%</f>
        <v>15714.28571</v>
      </c>
      <c r="C6" s="28">
        <f>$B$2/40%</f>
        <v>13750</v>
      </c>
      <c r="D6" s="28">
        <f>$B$2/45%</f>
        <v>12222.22222</v>
      </c>
      <c r="E6" s="28">
        <f>$B$2/50%</f>
        <v>11000</v>
      </c>
      <c r="F6" s="28">
        <f>$B$2/55%</f>
        <v>10000</v>
      </c>
      <c r="G6" s="28">
        <f>$B$2/60%</f>
        <v>9166.666667</v>
      </c>
      <c r="H6" s="28">
        <f>$B$2/65%</f>
        <v>8461.538462</v>
      </c>
      <c r="I6" s="23"/>
      <c r="J6" s="23"/>
      <c r="K6" s="25"/>
      <c r="L6" s="29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</row>
    <row r="7" ht="18.0" customHeight="1">
      <c r="A7" s="23"/>
      <c r="B7" s="25"/>
      <c r="C7" s="30"/>
      <c r="D7" s="30"/>
      <c r="E7" s="30"/>
      <c r="F7" s="30"/>
      <c r="G7" s="30"/>
      <c r="H7" s="30"/>
      <c r="I7" s="25"/>
      <c r="J7" s="25"/>
      <c r="K7" s="25"/>
      <c r="L7" s="29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</row>
    <row r="8" ht="18.0" customHeight="1">
      <c r="A8" s="23"/>
      <c r="B8" s="25"/>
      <c r="C8" s="30"/>
      <c r="D8" s="30"/>
      <c r="E8" s="30"/>
      <c r="F8" s="30"/>
      <c r="G8" s="30"/>
      <c r="H8" s="30"/>
      <c r="I8" s="25"/>
      <c r="J8" s="25"/>
      <c r="K8" s="25"/>
      <c r="L8" s="29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</row>
    <row r="9" ht="18.0" customHeight="1">
      <c r="A9" s="31" t="s">
        <v>20</v>
      </c>
      <c r="B9" s="31" t="s">
        <v>21</v>
      </c>
      <c r="C9" s="32" t="s">
        <v>22</v>
      </c>
      <c r="D9" s="30"/>
      <c r="E9" s="30"/>
      <c r="F9" s="30"/>
      <c r="G9" s="30"/>
      <c r="H9" s="30"/>
      <c r="I9" s="25"/>
      <c r="J9" s="25"/>
      <c r="K9" s="25"/>
      <c r="L9" s="29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</row>
    <row r="10" ht="18.0" customHeight="1">
      <c r="A10" s="27">
        <v>10000.0</v>
      </c>
      <c r="B10" s="33">
        <f>A10*1.1</f>
        <v>11000</v>
      </c>
      <c r="C10" s="34">
        <f>$B$2/B10</f>
        <v>0.5</v>
      </c>
      <c r="D10" s="30"/>
      <c r="E10" s="30"/>
      <c r="F10" s="30"/>
      <c r="G10" s="30"/>
      <c r="H10" s="30"/>
      <c r="I10" s="25"/>
      <c r="J10" s="25"/>
      <c r="K10" s="25"/>
      <c r="L10" s="29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</row>
    <row r="11" ht="18.0" customHeight="1">
      <c r="A11" s="23"/>
      <c r="B11" s="25"/>
      <c r="C11" s="30"/>
      <c r="D11" s="30"/>
      <c r="E11" s="30"/>
      <c r="F11" s="30"/>
      <c r="G11" s="30"/>
      <c r="H11" s="30"/>
      <c r="I11" s="25"/>
      <c r="J11" s="25"/>
      <c r="K11" s="25"/>
      <c r="L11" s="29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</row>
    <row r="12" ht="18.0" customHeight="1">
      <c r="A12" s="35" t="s">
        <v>23</v>
      </c>
      <c r="B12" s="36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</row>
    <row r="13" ht="18.0" customHeight="1">
      <c r="A13" s="37" t="s">
        <v>24</v>
      </c>
      <c r="B13" s="38" t="s">
        <v>25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</row>
    <row r="14" ht="18.0" customHeight="1">
      <c r="A14" s="27">
        <v>11000.0</v>
      </c>
      <c r="B14" s="33">
        <f>A14/1.1</f>
        <v>10000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</row>
    <row r="15" ht="18.0" customHeight="1">
      <c r="A15" s="8"/>
      <c r="B15" s="8"/>
      <c r="C15" s="9"/>
      <c r="D15" s="8"/>
      <c r="E15" s="8"/>
      <c r="F15" s="8"/>
      <c r="G15" s="13"/>
      <c r="H15" s="8"/>
      <c r="I15" s="8"/>
      <c r="J15" s="8"/>
      <c r="K15" s="1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25"/>
      <c r="Z15" s="25"/>
      <c r="AA15" s="25"/>
      <c r="AB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0.88"/>
    <col customWidth="1" min="3" max="4" width="12.13"/>
    <col customWidth="1" min="5" max="5" width="9.5"/>
    <col customWidth="1" min="6" max="6" width="14.63"/>
    <col customWidth="1" min="7" max="11" width="12.63"/>
    <col customWidth="1" min="12" max="12" width="13.0"/>
    <col customWidth="1" min="13" max="25" width="14.63"/>
  </cols>
  <sheetData>
    <row r="1" ht="18.0" customHeight="1">
      <c r="A1" s="10" t="s">
        <v>26</v>
      </c>
      <c r="B1" s="14">
        <v>30000.0</v>
      </c>
      <c r="C1" s="10" t="s">
        <v>27</v>
      </c>
      <c r="D1" s="14">
        <v>10000.0</v>
      </c>
      <c r="E1" s="10" t="s">
        <v>28</v>
      </c>
      <c r="F1" s="14">
        <v>1000.0</v>
      </c>
      <c r="G1" s="10" t="s">
        <v>29</v>
      </c>
      <c r="H1" s="39">
        <v>0.22</v>
      </c>
      <c r="I1" s="40"/>
      <c r="J1" s="41"/>
      <c r="K1" s="40"/>
      <c r="L1" s="40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8.0" customHeight="1">
      <c r="A2" s="1"/>
      <c r="B2" s="2"/>
      <c r="C2" s="1"/>
      <c r="D2" s="3"/>
      <c r="E2" s="1"/>
      <c r="F2" s="1"/>
      <c r="G2" s="1"/>
      <c r="H2" s="1"/>
      <c r="I2" s="1"/>
      <c r="J2" s="40"/>
      <c r="K2" s="40"/>
      <c r="L2" s="40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8.0" customHeight="1">
      <c r="A3" s="42"/>
      <c r="B3" s="43" t="s">
        <v>30</v>
      </c>
      <c r="C3" s="44" t="s">
        <v>31</v>
      </c>
      <c r="D3" s="45" t="s">
        <v>32</v>
      </c>
      <c r="E3" s="44" t="s">
        <v>33</v>
      </c>
      <c r="F3" s="44" t="s">
        <v>34</v>
      </c>
      <c r="G3" s="44" t="s">
        <v>35</v>
      </c>
      <c r="H3" s="44" t="s">
        <v>36</v>
      </c>
      <c r="I3" s="44" t="s">
        <v>37</v>
      </c>
      <c r="J3" s="44" t="s">
        <v>38</v>
      </c>
      <c r="K3" s="44" t="s">
        <v>39</v>
      </c>
      <c r="L3" s="46" t="s">
        <v>40</v>
      </c>
      <c r="M3" s="4"/>
      <c r="N3" s="4"/>
      <c r="O3" s="4"/>
      <c r="P3" s="4"/>
      <c r="Q3" s="4"/>
      <c r="R3" s="4"/>
      <c r="S3" s="4"/>
      <c r="T3" s="4"/>
      <c r="U3" s="4"/>
      <c r="V3" s="4"/>
    </row>
    <row r="4" ht="18.0" customHeight="1">
      <c r="A4" s="10" t="s">
        <v>41</v>
      </c>
      <c r="B4" s="5">
        <v>1.0</v>
      </c>
      <c r="C4" s="47">
        <v>0.4</v>
      </c>
      <c r="D4" s="14">
        <f t="shared" ref="D4:D14" si="2">$B$1*B4*(1-C4)</f>
        <v>18000</v>
      </c>
      <c r="E4" s="12">
        <v>20.0</v>
      </c>
      <c r="F4" s="14">
        <f t="shared" ref="F4:F14" si="3">D4*E4</f>
        <v>360000</v>
      </c>
      <c r="G4" s="14">
        <f t="shared" ref="G4:G14" si="4">F4*(1-$H$1)-$D$1*B4*E4-E4*$F$1</f>
        <v>60800</v>
      </c>
      <c r="H4" s="14">
        <f t="shared" ref="H4:H14" si="5">G4/E4</f>
        <v>3040</v>
      </c>
      <c r="I4" s="39">
        <f t="shared" ref="I4:I14" si="6">G4/F4</f>
        <v>0.1688888889</v>
      </c>
      <c r="J4" s="14">
        <f t="shared" ref="J4:K4" si="1">F4</f>
        <v>360000</v>
      </c>
      <c r="K4" s="14">
        <f t="shared" si="1"/>
        <v>60800</v>
      </c>
      <c r="L4" s="48">
        <f t="shared" ref="L4:L15" si="7">K4/J4</f>
        <v>0.1688888889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8.0" customHeight="1">
      <c r="A5" s="10" t="s">
        <v>42</v>
      </c>
      <c r="B5" s="5">
        <v>1.0</v>
      </c>
      <c r="C5" s="47">
        <v>0.35</v>
      </c>
      <c r="D5" s="14">
        <f t="shared" si="2"/>
        <v>19500</v>
      </c>
      <c r="E5" s="12">
        <v>30.0</v>
      </c>
      <c r="F5" s="14">
        <f t="shared" si="3"/>
        <v>585000</v>
      </c>
      <c r="G5" s="14">
        <f t="shared" si="4"/>
        <v>126300</v>
      </c>
      <c r="H5" s="14">
        <f t="shared" si="5"/>
        <v>4210</v>
      </c>
      <c r="I5" s="39">
        <f t="shared" si="6"/>
        <v>0.2158974359</v>
      </c>
      <c r="J5" s="14">
        <f t="shared" ref="J5:J15" si="8">F5+J4</f>
        <v>945000</v>
      </c>
      <c r="K5" s="14">
        <f t="shared" ref="K5:K15" si="9">K4+G5</f>
        <v>187100</v>
      </c>
      <c r="L5" s="48">
        <f t="shared" si="7"/>
        <v>0.197989418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8.0" customHeight="1">
      <c r="A6" s="10" t="s">
        <v>43</v>
      </c>
      <c r="B6" s="5">
        <v>1.0</v>
      </c>
      <c r="C6" s="47">
        <v>0.3</v>
      </c>
      <c r="D6" s="14">
        <f t="shared" si="2"/>
        <v>21000</v>
      </c>
      <c r="E6" s="12">
        <v>40.0</v>
      </c>
      <c r="F6" s="14">
        <f t="shared" si="3"/>
        <v>840000</v>
      </c>
      <c r="G6" s="14">
        <f t="shared" si="4"/>
        <v>215200</v>
      </c>
      <c r="H6" s="14">
        <f t="shared" si="5"/>
        <v>5380</v>
      </c>
      <c r="I6" s="39">
        <f t="shared" si="6"/>
        <v>0.2561904762</v>
      </c>
      <c r="J6" s="14">
        <f t="shared" si="8"/>
        <v>1785000</v>
      </c>
      <c r="K6" s="14">
        <f t="shared" si="9"/>
        <v>402300</v>
      </c>
      <c r="L6" s="48">
        <f t="shared" si="7"/>
        <v>0.2253781513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8.0" customHeight="1">
      <c r="A7" s="10" t="s">
        <v>44</v>
      </c>
      <c r="B7" s="5">
        <v>1.0</v>
      </c>
      <c r="C7" s="47">
        <v>0.25</v>
      </c>
      <c r="D7" s="14">
        <f t="shared" si="2"/>
        <v>22500</v>
      </c>
      <c r="E7" s="12">
        <v>50.0</v>
      </c>
      <c r="F7" s="14">
        <f t="shared" si="3"/>
        <v>1125000</v>
      </c>
      <c r="G7" s="14">
        <f t="shared" si="4"/>
        <v>327500</v>
      </c>
      <c r="H7" s="14">
        <f t="shared" si="5"/>
        <v>6550</v>
      </c>
      <c r="I7" s="39">
        <f t="shared" si="6"/>
        <v>0.2911111111</v>
      </c>
      <c r="J7" s="14">
        <f t="shared" si="8"/>
        <v>2910000</v>
      </c>
      <c r="K7" s="14">
        <f t="shared" si="9"/>
        <v>729800</v>
      </c>
      <c r="L7" s="48">
        <f t="shared" si="7"/>
        <v>0.250790378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8.0" customHeight="1">
      <c r="A8" s="10" t="s">
        <v>45</v>
      </c>
      <c r="B8" s="5">
        <v>1.0</v>
      </c>
      <c r="C8" s="47">
        <v>0.2</v>
      </c>
      <c r="D8" s="14">
        <f t="shared" si="2"/>
        <v>24000</v>
      </c>
      <c r="E8" s="12">
        <v>70.0</v>
      </c>
      <c r="F8" s="14">
        <f t="shared" si="3"/>
        <v>1680000</v>
      </c>
      <c r="G8" s="14">
        <f t="shared" si="4"/>
        <v>540400</v>
      </c>
      <c r="H8" s="14">
        <f t="shared" si="5"/>
        <v>7720</v>
      </c>
      <c r="I8" s="39">
        <f t="shared" si="6"/>
        <v>0.3216666667</v>
      </c>
      <c r="J8" s="14">
        <f t="shared" si="8"/>
        <v>4590000</v>
      </c>
      <c r="K8" s="14">
        <f t="shared" si="9"/>
        <v>1270200</v>
      </c>
      <c r="L8" s="48">
        <f t="shared" si="7"/>
        <v>0.2767320261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8.0" customHeight="1">
      <c r="A9" s="10" t="s">
        <v>46</v>
      </c>
      <c r="B9" s="5"/>
      <c r="C9" s="47"/>
      <c r="D9" s="14">
        <f t="shared" si="2"/>
        <v>0</v>
      </c>
      <c r="E9" s="12">
        <v>0.0</v>
      </c>
      <c r="F9" s="14">
        <f t="shared" si="3"/>
        <v>0</v>
      </c>
      <c r="G9" s="14">
        <f t="shared" si="4"/>
        <v>0</v>
      </c>
      <c r="H9" s="14" t="str">
        <f t="shared" si="5"/>
        <v>#DIV/0!</v>
      </c>
      <c r="I9" s="39" t="str">
        <f t="shared" si="6"/>
        <v>#DIV/0!</v>
      </c>
      <c r="J9" s="14">
        <f t="shared" si="8"/>
        <v>4590000</v>
      </c>
      <c r="K9" s="14">
        <f t="shared" si="9"/>
        <v>1270200</v>
      </c>
      <c r="L9" s="48">
        <f t="shared" si="7"/>
        <v>0.2767320261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8.0" customHeight="1">
      <c r="A10" s="10" t="s">
        <v>47</v>
      </c>
      <c r="B10" s="5"/>
      <c r="C10" s="47"/>
      <c r="D10" s="14">
        <f t="shared" si="2"/>
        <v>0</v>
      </c>
      <c r="E10" s="12">
        <v>0.0</v>
      </c>
      <c r="F10" s="14">
        <f t="shared" si="3"/>
        <v>0</v>
      </c>
      <c r="G10" s="14">
        <f t="shared" si="4"/>
        <v>0</v>
      </c>
      <c r="H10" s="14" t="str">
        <f t="shared" si="5"/>
        <v>#DIV/0!</v>
      </c>
      <c r="I10" s="39" t="str">
        <f t="shared" si="6"/>
        <v>#DIV/0!</v>
      </c>
      <c r="J10" s="14">
        <f t="shared" si="8"/>
        <v>4590000</v>
      </c>
      <c r="K10" s="14">
        <f t="shared" si="9"/>
        <v>1270200</v>
      </c>
      <c r="L10" s="48">
        <f t="shared" si="7"/>
        <v>0.2767320261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8.0" customHeight="1">
      <c r="A11" s="10" t="s">
        <v>48</v>
      </c>
      <c r="B11" s="5"/>
      <c r="C11" s="47"/>
      <c r="D11" s="14">
        <f t="shared" si="2"/>
        <v>0</v>
      </c>
      <c r="E11" s="12">
        <v>0.0</v>
      </c>
      <c r="F11" s="14">
        <f t="shared" si="3"/>
        <v>0</v>
      </c>
      <c r="G11" s="14">
        <f t="shared" si="4"/>
        <v>0</v>
      </c>
      <c r="H11" s="14" t="str">
        <f t="shared" si="5"/>
        <v>#DIV/0!</v>
      </c>
      <c r="I11" s="39" t="str">
        <f t="shared" si="6"/>
        <v>#DIV/0!</v>
      </c>
      <c r="J11" s="14">
        <f t="shared" si="8"/>
        <v>4590000</v>
      </c>
      <c r="K11" s="14">
        <f t="shared" si="9"/>
        <v>1270200</v>
      </c>
      <c r="L11" s="48">
        <f t="shared" si="7"/>
        <v>0.2767320261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8.0" customHeight="1">
      <c r="A12" s="10" t="s">
        <v>49</v>
      </c>
      <c r="B12" s="5">
        <v>2.0</v>
      </c>
      <c r="C12" s="47">
        <v>0.4</v>
      </c>
      <c r="D12" s="14">
        <f t="shared" si="2"/>
        <v>36000</v>
      </c>
      <c r="E12" s="12">
        <v>20.0</v>
      </c>
      <c r="F12" s="14">
        <f t="shared" si="3"/>
        <v>720000</v>
      </c>
      <c r="G12" s="14">
        <f t="shared" si="4"/>
        <v>141600</v>
      </c>
      <c r="H12" s="14">
        <f t="shared" si="5"/>
        <v>7080</v>
      </c>
      <c r="I12" s="39">
        <f t="shared" si="6"/>
        <v>0.1966666667</v>
      </c>
      <c r="J12" s="14">
        <f t="shared" si="8"/>
        <v>5310000</v>
      </c>
      <c r="K12" s="14">
        <f t="shared" si="9"/>
        <v>1411800</v>
      </c>
      <c r="L12" s="48">
        <f t="shared" si="7"/>
        <v>0.2658757062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8.0" customHeight="1">
      <c r="A13" s="10" t="s">
        <v>50</v>
      </c>
      <c r="B13" s="5">
        <v>2.0</v>
      </c>
      <c r="C13" s="47">
        <v>0.35</v>
      </c>
      <c r="D13" s="14">
        <f t="shared" si="2"/>
        <v>39000</v>
      </c>
      <c r="E13" s="12">
        <v>40.0</v>
      </c>
      <c r="F13" s="14">
        <f t="shared" si="3"/>
        <v>1560000</v>
      </c>
      <c r="G13" s="14">
        <f t="shared" si="4"/>
        <v>376800</v>
      </c>
      <c r="H13" s="14">
        <f t="shared" si="5"/>
        <v>9420</v>
      </c>
      <c r="I13" s="39">
        <f t="shared" si="6"/>
        <v>0.2415384615</v>
      </c>
      <c r="J13" s="14">
        <f t="shared" si="8"/>
        <v>6870000</v>
      </c>
      <c r="K13" s="14">
        <f t="shared" si="9"/>
        <v>1788600</v>
      </c>
      <c r="L13" s="48">
        <f t="shared" si="7"/>
        <v>0.260349345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8.0" customHeight="1">
      <c r="A14" s="10" t="s">
        <v>51</v>
      </c>
      <c r="B14" s="5">
        <v>4.0</v>
      </c>
      <c r="C14" s="47">
        <v>0.4</v>
      </c>
      <c r="D14" s="14">
        <f t="shared" si="2"/>
        <v>72000</v>
      </c>
      <c r="E14" s="12">
        <v>10.0</v>
      </c>
      <c r="F14" s="14">
        <f t="shared" si="3"/>
        <v>720000</v>
      </c>
      <c r="G14" s="14">
        <f t="shared" si="4"/>
        <v>151600</v>
      </c>
      <c r="H14" s="14">
        <f t="shared" si="5"/>
        <v>15160</v>
      </c>
      <c r="I14" s="39">
        <f t="shared" si="6"/>
        <v>0.2105555556</v>
      </c>
      <c r="J14" s="14">
        <f t="shared" si="8"/>
        <v>7590000</v>
      </c>
      <c r="K14" s="14">
        <f t="shared" si="9"/>
        <v>1940200</v>
      </c>
      <c r="L14" s="48">
        <f t="shared" si="7"/>
        <v>0.2556258235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8.0" customHeight="1">
      <c r="A15" s="49" t="s">
        <v>52</v>
      </c>
      <c r="B15" s="50"/>
      <c r="C15" s="40"/>
      <c r="D15" s="51"/>
      <c r="E15" s="40">
        <f>SUM(E4:E14)</f>
        <v>280</v>
      </c>
      <c r="F15" s="40"/>
      <c r="G15" s="40"/>
      <c r="H15" s="40"/>
      <c r="I15" s="40"/>
      <c r="J15" s="14">
        <f t="shared" si="8"/>
        <v>7590000</v>
      </c>
      <c r="K15" s="14">
        <f t="shared" si="9"/>
        <v>1940200</v>
      </c>
      <c r="L15" s="48">
        <f t="shared" si="7"/>
        <v>0.2556258235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4"/>
      <c r="B16" s="21"/>
      <c r="C16" s="4"/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4"/>
      <c r="B17" s="21"/>
      <c r="C17" s="4"/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2.5" customHeight="1">
      <c r="A18" s="4"/>
      <c r="B18" s="21"/>
      <c r="C18" s="4"/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2.5" customHeight="1">
      <c r="A19" s="4"/>
      <c r="B19" s="21"/>
      <c r="C19" s="4"/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2.5" customHeight="1">
      <c r="A20" s="4"/>
      <c r="B20" s="21"/>
      <c r="C20" s="4"/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2.5" customHeight="1">
      <c r="A21" s="4"/>
      <c r="B21" s="21"/>
      <c r="C21" s="4"/>
      <c r="D21" s="2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2.5" customHeight="1">
      <c r="A22" s="4"/>
      <c r="B22" s="21"/>
      <c r="C22" s="4"/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2.5" customHeight="1">
      <c r="A23" s="4"/>
      <c r="B23" s="21"/>
      <c r="C23" s="4"/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2.5" customHeight="1">
      <c r="A24" s="4"/>
      <c r="B24" s="21"/>
      <c r="C24" s="4"/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2.5" customHeight="1">
      <c r="A25" s="4"/>
      <c r="B25" s="21"/>
      <c r="C25" s="4"/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2.5" customHeight="1">
      <c r="A26" s="4"/>
      <c r="B26" s="21"/>
      <c r="C26" s="4"/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2.5" customHeight="1">
      <c r="A27" s="4"/>
      <c r="B27" s="21"/>
      <c r="C27" s="4"/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2.5" customHeight="1">
      <c r="A28" s="4"/>
      <c r="B28" s="21"/>
      <c r="C28" s="4"/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2.5" customHeight="1">
      <c r="A29" s="4"/>
      <c r="B29" s="21"/>
      <c r="C29" s="4"/>
      <c r="D29" s="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2.5" customHeight="1">
      <c r="A30" s="4"/>
      <c r="B30" s="21"/>
      <c r="C30" s="4"/>
      <c r="D30" s="2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2.5" customHeight="1">
      <c r="A31" s="4"/>
      <c r="B31" s="21"/>
      <c r="C31" s="4"/>
      <c r="D31" s="2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22.5" customHeight="1">
      <c r="A32" s="4"/>
      <c r="B32" s="21"/>
      <c r="C32" s="4"/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22.5" customHeight="1">
      <c r="A33" s="4"/>
      <c r="B33" s="21"/>
      <c r="C33" s="4"/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22.5" customHeight="1">
      <c r="A34" s="4"/>
      <c r="B34" s="21"/>
      <c r="C34" s="4"/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2.5" customHeight="1">
      <c r="A35" s="4"/>
      <c r="B35" s="21"/>
      <c r="C35" s="4"/>
      <c r="D35" s="2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2.5" customHeight="1">
      <c r="A36" s="4"/>
      <c r="B36" s="21"/>
      <c r="C36" s="4"/>
      <c r="D36" s="2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2.5" customHeight="1">
      <c r="A37" s="4"/>
      <c r="B37" s="21"/>
      <c r="C37" s="4"/>
      <c r="D37" s="2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2.5" customHeight="1">
      <c r="A38" s="4"/>
      <c r="B38" s="21"/>
      <c r="C38" s="4"/>
      <c r="D38" s="2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2.5" customHeight="1">
      <c r="A39" s="4"/>
      <c r="B39" s="21"/>
      <c r="C39" s="4"/>
      <c r="D39" s="2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2.5" customHeight="1">
      <c r="A40" s="4"/>
      <c r="B40" s="21"/>
      <c r="C40" s="4"/>
      <c r="D40" s="2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2.5" customHeight="1">
      <c r="A41" s="4"/>
      <c r="B41" s="21"/>
      <c r="C41" s="4"/>
      <c r="D41" s="2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2.5" customHeight="1">
      <c r="A42" s="4"/>
      <c r="B42" s="21"/>
      <c r="C42" s="4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2.5" customHeight="1">
      <c r="A43" s="4"/>
      <c r="B43" s="21"/>
      <c r="C43" s="4"/>
      <c r="D43" s="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2.5" customHeight="1">
      <c r="A44" s="4"/>
      <c r="B44" s="21"/>
      <c r="C44" s="4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2.5" customHeight="1">
      <c r="A45" s="4"/>
      <c r="B45" s="21"/>
      <c r="C45" s="4"/>
      <c r="D45" s="2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2.5" customHeight="1">
      <c r="A46" s="4"/>
      <c r="B46" s="21"/>
      <c r="C46" s="4"/>
      <c r="D46" s="2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2.5" customHeight="1">
      <c r="A47" s="4"/>
      <c r="B47" s="21"/>
      <c r="C47" s="4"/>
      <c r="D47" s="2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2.5" customHeight="1">
      <c r="A48" s="4"/>
      <c r="B48" s="21"/>
      <c r="C48" s="4"/>
      <c r="D48" s="2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2.5" customHeight="1">
      <c r="A49" s="4"/>
      <c r="B49" s="21"/>
      <c r="C49" s="4"/>
      <c r="D49" s="2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2.5" customHeight="1">
      <c r="A50" s="4"/>
      <c r="B50" s="21"/>
      <c r="C50" s="4"/>
      <c r="D50" s="2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2.5" customHeight="1">
      <c r="A51" s="4"/>
      <c r="B51" s="21"/>
      <c r="C51" s="4"/>
      <c r="D51" s="2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2.5" customHeight="1">
      <c r="A52" s="4"/>
      <c r="B52" s="21"/>
      <c r="C52" s="4"/>
      <c r="D52" s="2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22.5" customHeight="1">
      <c r="A53" s="4"/>
      <c r="B53" s="21"/>
      <c r="C53" s="4"/>
      <c r="D53" s="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22.5" customHeight="1">
      <c r="A54" s="4"/>
      <c r="B54" s="21"/>
      <c r="C54" s="4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22.5" customHeight="1">
      <c r="A55" s="4"/>
      <c r="B55" s="21"/>
      <c r="C55" s="4"/>
      <c r="D55" s="2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2.5" customHeight="1">
      <c r="A56" s="4"/>
      <c r="B56" s="21"/>
      <c r="C56" s="4"/>
      <c r="D56" s="2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2.5" customHeight="1">
      <c r="A57" s="4"/>
      <c r="B57" s="21"/>
      <c r="C57" s="4"/>
      <c r="D57" s="2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2.5" customHeight="1">
      <c r="A58" s="4"/>
      <c r="B58" s="21"/>
      <c r="C58" s="4"/>
      <c r="D58" s="2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22.5" customHeight="1">
      <c r="A59" s="4"/>
      <c r="B59" s="21"/>
      <c r="C59" s="4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22.5" customHeight="1">
      <c r="A60" s="4"/>
      <c r="B60" s="21"/>
      <c r="C60" s="4"/>
      <c r="D60" s="2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22.5" customHeight="1">
      <c r="A61" s="4"/>
      <c r="B61" s="21"/>
      <c r="C61" s="4"/>
      <c r="D61" s="2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22.5" customHeight="1">
      <c r="A62" s="4"/>
      <c r="B62" s="21"/>
      <c r="C62" s="4"/>
      <c r="D62" s="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22.5" customHeight="1">
      <c r="A63" s="4"/>
      <c r="B63" s="21"/>
      <c r="C63" s="4"/>
      <c r="D63" s="2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22.5" customHeight="1">
      <c r="A64" s="4"/>
      <c r="B64" s="21"/>
      <c r="C64" s="4"/>
      <c r="D64" s="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22.5" customHeight="1">
      <c r="A65" s="4"/>
      <c r="B65" s="21"/>
      <c r="C65" s="4"/>
      <c r="D65" s="2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22.5" customHeight="1">
      <c r="A66" s="4"/>
      <c r="B66" s="21"/>
      <c r="C66" s="4"/>
      <c r="D66" s="2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22.5" customHeight="1">
      <c r="A67" s="4"/>
      <c r="B67" s="21"/>
      <c r="C67" s="4"/>
      <c r="D67" s="2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22.5" customHeight="1">
      <c r="A68" s="4"/>
      <c r="B68" s="21"/>
      <c r="C68" s="4"/>
      <c r="D68" s="2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22.5" customHeight="1">
      <c r="A69" s="4"/>
      <c r="B69" s="21"/>
      <c r="C69" s="4"/>
      <c r="D69" s="2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22.5" customHeight="1">
      <c r="A70" s="4"/>
      <c r="B70" s="21"/>
      <c r="C70" s="4"/>
      <c r="D70" s="2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22.5" customHeight="1">
      <c r="A71" s="4"/>
      <c r="B71" s="21"/>
      <c r="C71" s="4"/>
      <c r="D71" s="2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22.5" customHeight="1">
      <c r="A72" s="4"/>
      <c r="B72" s="21"/>
      <c r="C72" s="4"/>
      <c r="D72" s="2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22.5" customHeight="1">
      <c r="A73" s="4"/>
      <c r="B73" s="21"/>
      <c r="C73" s="4"/>
      <c r="D73" s="2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22.5" customHeight="1">
      <c r="A74" s="4"/>
      <c r="B74" s="21"/>
      <c r="C74" s="4"/>
      <c r="D74" s="2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22.5" customHeight="1">
      <c r="A75" s="4"/>
      <c r="B75" s="21"/>
      <c r="C75" s="4"/>
      <c r="D75" s="2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22.5" customHeight="1">
      <c r="A76" s="4"/>
      <c r="B76" s="21"/>
      <c r="C76" s="4"/>
      <c r="D76" s="2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22.5" customHeight="1">
      <c r="A77" s="4"/>
      <c r="B77" s="21"/>
      <c r="C77" s="4"/>
      <c r="D77" s="2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22.5" customHeight="1">
      <c r="A78" s="4"/>
      <c r="B78" s="21"/>
      <c r="C78" s="4"/>
      <c r="D78" s="2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22.5" customHeight="1">
      <c r="A79" s="4"/>
      <c r="B79" s="21"/>
      <c r="C79" s="4"/>
      <c r="D79" s="2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22.5" customHeight="1">
      <c r="A80" s="4"/>
      <c r="B80" s="21"/>
      <c r="C80" s="4"/>
      <c r="D80" s="2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22.5" customHeight="1">
      <c r="A81" s="4"/>
      <c r="B81" s="21"/>
      <c r="C81" s="4"/>
      <c r="D81" s="2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22.5" customHeight="1">
      <c r="A82" s="4"/>
      <c r="B82" s="21"/>
      <c r="C82" s="4"/>
      <c r="D82" s="2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22.5" customHeight="1">
      <c r="A83" s="4"/>
      <c r="B83" s="21"/>
      <c r="C83" s="4"/>
      <c r="D83" s="2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22.5" customHeight="1">
      <c r="A84" s="4"/>
      <c r="B84" s="21"/>
      <c r="C84" s="4"/>
      <c r="D84" s="2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22.5" customHeight="1">
      <c r="A85" s="4"/>
      <c r="B85" s="21"/>
      <c r="C85" s="4"/>
      <c r="D85" s="2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22.5" customHeight="1">
      <c r="A86" s="4"/>
      <c r="B86" s="21"/>
      <c r="C86" s="4"/>
      <c r="D86" s="2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22.5" customHeight="1">
      <c r="A87" s="4"/>
      <c r="B87" s="21"/>
      <c r="C87" s="4"/>
      <c r="D87" s="2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22.5" customHeight="1">
      <c r="A88" s="4"/>
      <c r="B88" s="21"/>
      <c r="C88" s="4"/>
      <c r="D88" s="2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22.5" customHeight="1">
      <c r="A89" s="4"/>
      <c r="B89" s="21"/>
      <c r="C89" s="4"/>
      <c r="D89" s="2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22.5" customHeight="1">
      <c r="A90" s="4"/>
      <c r="B90" s="21"/>
      <c r="C90" s="4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22.5" customHeight="1">
      <c r="A91" s="4"/>
      <c r="B91" s="21"/>
      <c r="C91" s="4"/>
      <c r="D91" s="2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22.5" customHeight="1">
      <c r="A92" s="4"/>
      <c r="B92" s="21"/>
      <c r="C92" s="4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22.5" customHeight="1">
      <c r="A93" s="4"/>
      <c r="B93" s="21"/>
      <c r="C93" s="4"/>
      <c r="D93" s="2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22.5" customHeight="1">
      <c r="A94" s="4"/>
      <c r="B94" s="21"/>
      <c r="C94" s="4"/>
      <c r="D94" s="2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22.5" customHeight="1">
      <c r="A95" s="4"/>
      <c r="B95" s="21"/>
      <c r="C95" s="4"/>
      <c r="D95" s="2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22.5" customHeight="1">
      <c r="A96" s="4"/>
      <c r="B96" s="21"/>
      <c r="C96" s="4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22.5" customHeight="1">
      <c r="A97" s="4"/>
      <c r="B97" s="21"/>
      <c r="C97" s="4"/>
      <c r="D97" s="2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22.5" customHeight="1">
      <c r="A98" s="4"/>
      <c r="B98" s="21"/>
      <c r="C98" s="4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22.5" customHeight="1">
      <c r="A99" s="4"/>
      <c r="B99" s="21"/>
      <c r="C99" s="4"/>
      <c r="D99" s="2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22.5" customHeight="1">
      <c r="A100" s="4"/>
      <c r="B100" s="21"/>
      <c r="C100" s="4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22.5" customHeight="1">
      <c r="A101" s="4"/>
      <c r="B101" s="21"/>
      <c r="C101" s="4"/>
      <c r="D101" s="2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22.5" customHeight="1">
      <c r="A102" s="4"/>
      <c r="B102" s="21"/>
      <c r="C102" s="4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22.5" customHeight="1">
      <c r="A103" s="4"/>
      <c r="B103" s="21"/>
      <c r="C103" s="4"/>
      <c r="D103" s="2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22.5" customHeight="1">
      <c r="A104" s="4"/>
      <c r="B104" s="21"/>
      <c r="C104" s="4"/>
      <c r="D104" s="2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22.5" customHeight="1">
      <c r="A105" s="4"/>
      <c r="B105" s="21"/>
      <c r="C105" s="4"/>
      <c r="D105" s="2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22.5" customHeight="1">
      <c r="A106" s="4"/>
      <c r="B106" s="21"/>
      <c r="C106" s="4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22.5" customHeight="1">
      <c r="A107" s="4"/>
      <c r="B107" s="21"/>
      <c r="C107" s="4"/>
      <c r="D107" s="2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22.5" customHeight="1">
      <c r="A108" s="4"/>
      <c r="B108" s="21"/>
      <c r="C108" s="4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22.5" customHeight="1">
      <c r="A109" s="4"/>
      <c r="B109" s="21"/>
      <c r="C109" s="4"/>
      <c r="D109" s="2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22.5" customHeight="1">
      <c r="A110" s="4"/>
      <c r="B110" s="21"/>
      <c r="C110" s="4"/>
      <c r="D110" s="2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22.5" customHeight="1">
      <c r="A111" s="4"/>
      <c r="B111" s="21"/>
      <c r="C111" s="4"/>
      <c r="D111" s="2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22.5" customHeight="1">
      <c r="A112" s="4"/>
      <c r="B112" s="21"/>
      <c r="C112" s="4"/>
      <c r="D112" s="2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22.5" customHeight="1">
      <c r="A113" s="4"/>
      <c r="B113" s="21"/>
      <c r="C113" s="4"/>
      <c r="D113" s="2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22.5" customHeight="1">
      <c r="A114" s="4"/>
      <c r="B114" s="21"/>
      <c r="C114" s="4"/>
      <c r="D114" s="2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22.5" customHeight="1">
      <c r="A115" s="4"/>
      <c r="B115" s="21"/>
      <c r="C115" s="4"/>
      <c r="D115" s="2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22.5" customHeight="1">
      <c r="A116" s="4"/>
      <c r="B116" s="21"/>
      <c r="C116" s="4"/>
      <c r="D116" s="2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22.5" customHeight="1">
      <c r="A117" s="4"/>
      <c r="B117" s="21"/>
      <c r="C117" s="4"/>
      <c r="D117" s="2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22.5" customHeight="1">
      <c r="A118" s="4"/>
      <c r="B118" s="21"/>
      <c r="C118" s="4"/>
      <c r="D118" s="2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22.5" customHeight="1">
      <c r="A119" s="4"/>
      <c r="B119" s="21"/>
      <c r="C119" s="4"/>
      <c r="D119" s="2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22.5" customHeight="1">
      <c r="A120" s="4"/>
      <c r="B120" s="21"/>
      <c r="C120" s="4"/>
      <c r="D120" s="2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22.5" customHeight="1">
      <c r="A121" s="4"/>
      <c r="B121" s="21"/>
      <c r="C121" s="4"/>
      <c r="D121" s="2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22.5" customHeight="1">
      <c r="A122" s="4"/>
      <c r="B122" s="21"/>
      <c r="C122" s="4"/>
      <c r="D122" s="2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22.5" customHeight="1">
      <c r="A123" s="4"/>
      <c r="B123" s="21"/>
      <c r="C123" s="4"/>
      <c r="D123" s="2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22.5" customHeight="1">
      <c r="A124" s="4"/>
      <c r="B124" s="21"/>
      <c r="C124" s="4"/>
      <c r="D124" s="2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22.5" customHeight="1">
      <c r="A125" s="4"/>
      <c r="B125" s="21"/>
      <c r="C125" s="4"/>
      <c r="D125" s="2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22.5" customHeight="1">
      <c r="A126" s="4"/>
      <c r="B126" s="21"/>
      <c r="C126" s="4"/>
      <c r="D126" s="2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22.5" customHeight="1">
      <c r="A127" s="4"/>
      <c r="B127" s="21"/>
      <c r="C127" s="4"/>
      <c r="D127" s="2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22.5" customHeight="1">
      <c r="A128" s="4"/>
      <c r="B128" s="21"/>
      <c r="C128" s="4"/>
      <c r="D128" s="2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22.5" customHeight="1">
      <c r="A129" s="4"/>
      <c r="B129" s="21"/>
      <c r="C129" s="4"/>
      <c r="D129" s="2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22.5" customHeight="1">
      <c r="A130" s="4"/>
      <c r="B130" s="21"/>
      <c r="C130" s="4"/>
      <c r="D130" s="2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22.5" customHeight="1">
      <c r="A131" s="4"/>
      <c r="B131" s="21"/>
      <c r="C131" s="4"/>
      <c r="D131" s="2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22.5" customHeight="1">
      <c r="A132" s="4"/>
      <c r="B132" s="21"/>
      <c r="C132" s="4"/>
      <c r="D132" s="2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22.5" customHeight="1">
      <c r="A133" s="4"/>
      <c r="B133" s="21"/>
      <c r="C133" s="4"/>
      <c r="D133" s="2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22.5" customHeight="1">
      <c r="A134" s="4"/>
      <c r="B134" s="21"/>
      <c r="C134" s="4"/>
      <c r="D134" s="2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22.5" customHeight="1">
      <c r="A135" s="4"/>
      <c r="B135" s="21"/>
      <c r="C135" s="4"/>
      <c r="D135" s="2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22.5" customHeight="1">
      <c r="A136" s="4"/>
      <c r="B136" s="21"/>
      <c r="C136" s="4"/>
      <c r="D136" s="2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22.5" customHeight="1">
      <c r="A137" s="4"/>
      <c r="B137" s="21"/>
      <c r="C137" s="4"/>
      <c r="D137" s="2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22.5" customHeight="1">
      <c r="A138" s="4"/>
      <c r="B138" s="21"/>
      <c r="C138" s="4"/>
      <c r="D138" s="2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22.5" customHeight="1">
      <c r="A139" s="4"/>
      <c r="B139" s="21"/>
      <c r="C139" s="4"/>
      <c r="D139" s="2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22.5" customHeight="1">
      <c r="A140" s="4"/>
      <c r="B140" s="21"/>
      <c r="C140" s="4"/>
      <c r="D140" s="2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22.5" customHeight="1">
      <c r="A141" s="4"/>
      <c r="B141" s="21"/>
      <c r="C141" s="4"/>
      <c r="D141" s="2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22.5" customHeight="1">
      <c r="A142" s="4"/>
      <c r="B142" s="21"/>
      <c r="C142" s="4"/>
      <c r="D142" s="2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22.5" customHeight="1">
      <c r="A143" s="4"/>
      <c r="B143" s="21"/>
      <c r="C143" s="4"/>
      <c r="D143" s="2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22.5" customHeight="1">
      <c r="A144" s="4"/>
      <c r="B144" s="21"/>
      <c r="C144" s="4"/>
      <c r="D144" s="2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22.5" customHeight="1">
      <c r="A145" s="4"/>
      <c r="B145" s="21"/>
      <c r="C145" s="4"/>
      <c r="D145" s="2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22.5" customHeight="1">
      <c r="A146" s="4"/>
      <c r="B146" s="21"/>
      <c r="C146" s="4"/>
      <c r="D146" s="2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22.5" customHeight="1">
      <c r="A147" s="4"/>
      <c r="B147" s="21"/>
      <c r="C147" s="4"/>
      <c r="D147" s="2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22.5" customHeight="1">
      <c r="A148" s="4"/>
      <c r="B148" s="21"/>
      <c r="C148" s="4"/>
      <c r="D148" s="2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22.5" customHeight="1">
      <c r="A149" s="4"/>
      <c r="B149" s="21"/>
      <c r="C149" s="4"/>
      <c r="D149" s="2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22.5" customHeight="1">
      <c r="A150" s="4"/>
      <c r="B150" s="21"/>
      <c r="C150" s="4"/>
      <c r="D150" s="2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22.5" customHeight="1">
      <c r="A151" s="4"/>
      <c r="B151" s="21"/>
      <c r="C151" s="4"/>
      <c r="D151" s="2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22.5" customHeight="1">
      <c r="A152" s="4"/>
      <c r="B152" s="21"/>
      <c r="C152" s="4"/>
      <c r="D152" s="2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22.5" customHeight="1">
      <c r="A153" s="4"/>
      <c r="B153" s="21"/>
      <c r="C153" s="4"/>
      <c r="D153" s="2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22.5" customHeight="1">
      <c r="A154" s="4"/>
      <c r="B154" s="21"/>
      <c r="C154" s="4"/>
      <c r="D154" s="2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22.5" customHeight="1">
      <c r="A155" s="4"/>
      <c r="B155" s="21"/>
      <c r="C155" s="4"/>
      <c r="D155" s="2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22.5" customHeight="1">
      <c r="A156" s="4"/>
      <c r="B156" s="21"/>
      <c r="C156" s="4"/>
      <c r="D156" s="2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22.5" customHeight="1">
      <c r="A157" s="4"/>
      <c r="B157" s="21"/>
      <c r="C157" s="4"/>
      <c r="D157" s="2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22.5" customHeight="1">
      <c r="A158" s="4"/>
      <c r="B158" s="21"/>
      <c r="C158" s="4"/>
      <c r="D158" s="2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22.5" customHeight="1">
      <c r="A159" s="4"/>
      <c r="B159" s="21"/>
      <c r="C159" s="4"/>
      <c r="D159" s="2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22.5" customHeight="1">
      <c r="A160" s="4"/>
      <c r="B160" s="21"/>
      <c r="C160" s="4"/>
      <c r="D160" s="2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22.5" customHeight="1">
      <c r="A161" s="4"/>
      <c r="B161" s="21"/>
      <c r="C161" s="4"/>
      <c r="D161" s="2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22.5" customHeight="1">
      <c r="A162" s="4"/>
      <c r="B162" s="21"/>
      <c r="C162" s="4"/>
      <c r="D162" s="2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22.5" customHeight="1">
      <c r="A163" s="4"/>
      <c r="B163" s="21"/>
      <c r="C163" s="4"/>
      <c r="D163" s="2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22.5" customHeight="1">
      <c r="A164" s="4"/>
      <c r="B164" s="21"/>
      <c r="C164" s="4"/>
      <c r="D164" s="2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22.5" customHeight="1">
      <c r="A165" s="4"/>
      <c r="B165" s="21"/>
      <c r="C165" s="4"/>
      <c r="D165" s="2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22.5" customHeight="1">
      <c r="A166" s="4"/>
      <c r="B166" s="21"/>
      <c r="C166" s="4"/>
      <c r="D166" s="2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22.5" customHeight="1">
      <c r="A167" s="4"/>
      <c r="B167" s="21"/>
      <c r="C167" s="4"/>
      <c r="D167" s="2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22.5" customHeight="1">
      <c r="A168" s="4"/>
      <c r="B168" s="21"/>
      <c r="C168" s="4"/>
      <c r="D168" s="2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22.5" customHeight="1">
      <c r="A169" s="4"/>
      <c r="B169" s="21"/>
      <c r="C169" s="4"/>
      <c r="D169" s="2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22.5" customHeight="1">
      <c r="A170" s="4"/>
      <c r="B170" s="21"/>
      <c r="C170" s="4"/>
      <c r="D170" s="2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22.5" customHeight="1">
      <c r="A171" s="4"/>
      <c r="B171" s="21"/>
      <c r="C171" s="4"/>
      <c r="D171" s="2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22.5" customHeight="1">
      <c r="A172" s="4"/>
      <c r="B172" s="21"/>
      <c r="C172" s="4"/>
      <c r="D172" s="2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22.5" customHeight="1">
      <c r="A173" s="4"/>
      <c r="B173" s="21"/>
      <c r="C173" s="4"/>
      <c r="D173" s="2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22.5" customHeight="1">
      <c r="A174" s="4"/>
      <c r="B174" s="21"/>
      <c r="C174" s="4"/>
      <c r="D174" s="2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22.5" customHeight="1">
      <c r="A175" s="4"/>
      <c r="B175" s="21"/>
      <c r="C175" s="4"/>
      <c r="D175" s="2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22.5" customHeight="1">
      <c r="A176" s="4"/>
      <c r="B176" s="21"/>
      <c r="C176" s="4"/>
      <c r="D176" s="2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22.5" customHeight="1">
      <c r="A177" s="4"/>
      <c r="B177" s="21"/>
      <c r="C177" s="4"/>
      <c r="D177" s="2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22.5" customHeight="1">
      <c r="A178" s="4"/>
      <c r="B178" s="21"/>
      <c r="C178" s="4"/>
      <c r="D178" s="2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22.5" customHeight="1">
      <c r="A179" s="4"/>
      <c r="B179" s="21"/>
      <c r="C179" s="4"/>
      <c r="D179" s="2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22.5" customHeight="1">
      <c r="A180" s="4"/>
      <c r="B180" s="21"/>
      <c r="C180" s="4"/>
      <c r="D180" s="2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22.5" customHeight="1">
      <c r="A181" s="4"/>
      <c r="B181" s="21"/>
      <c r="C181" s="4"/>
      <c r="D181" s="2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22.5" customHeight="1">
      <c r="A182" s="4"/>
      <c r="B182" s="21"/>
      <c r="C182" s="4"/>
      <c r="D182" s="2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22.5" customHeight="1">
      <c r="A183" s="4"/>
      <c r="B183" s="21"/>
      <c r="C183" s="4"/>
      <c r="D183" s="2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22.5" customHeight="1">
      <c r="A184" s="4"/>
      <c r="B184" s="21"/>
      <c r="C184" s="4"/>
      <c r="D184" s="2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22.5" customHeight="1">
      <c r="A185" s="4"/>
      <c r="B185" s="21"/>
      <c r="C185" s="4"/>
      <c r="D185" s="2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22.5" customHeight="1">
      <c r="A186" s="4"/>
      <c r="B186" s="21"/>
      <c r="C186" s="4"/>
      <c r="D186" s="2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22.5" customHeight="1">
      <c r="A187" s="4"/>
      <c r="B187" s="21"/>
      <c r="C187" s="4"/>
      <c r="D187" s="2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22.5" customHeight="1">
      <c r="A188" s="4"/>
      <c r="B188" s="21"/>
      <c r="C188" s="4"/>
      <c r="D188" s="2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22.5" customHeight="1">
      <c r="A189" s="4"/>
      <c r="B189" s="21"/>
      <c r="C189" s="4"/>
      <c r="D189" s="2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22.5" customHeight="1">
      <c r="A190" s="4"/>
      <c r="B190" s="21"/>
      <c r="C190" s="4"/>
      <c r="D190" s="2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22.5" customHeight="1">
      <c r="A191" s="4"/>
      <c r="B191" s="21"/>
      <c r="C191" s="4"/>
      <c r="D191" s="2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22.5" customHeight="1">
      <c r="A192" s="4"/>
      <c r="B192" s="21"/>
      <c r="C192" s="4"/>
      <c r="D192" s="2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22.5" customHeight="1">
      <c r="A193" s="4"/>
      <c r="B193" s="21"/>
      <c r="C193" s="4"/>
      <c r="D193" s="2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22.5" customHeight="1">
      <c r="A194" s="4"/>
      <c r="B194" s="21"/>
      <c r="C194" s="4"/>
      <c r="D194" s="2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22.5" customHeight="1">
      <c r="A195" s="4"/>
      <c r="B195" s="21"/>
      <c r="C195" s="4"/>
      <c r="D195" s="2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22.5" customHeight="1">
      <c r="A196" s="4"/>
      <c r="B196" s="21"/>
      <c r="C196" s="4"/>
      <c r="D196" s="2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22.5" customHeight="1">
      <c r="A197" s="4"/>
      <c r="B197" s="21"/>
      <c r="C197" s="4"/>
      <c r="D197" s="2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22.5" customHeight="1">
      <c r="A198" s="4"/>
      <c r="B198" s="21"/>
      <c r="C198" s="4"/>
      <c r="D198" s="2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22.5" customHeight="1">
      <c r="A199" s="4"/>
      <c r="B199" s="21"/>
      <c r="C199" s="4"/>
      <c r="D199" s="2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22.5" customHeight="1">
      <c r="A200" s="4"/>
      <c r="B200" s="21"/>
      <c r="C200" s="4"/>
      <c r="D200" s="2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22.5" customHeight="1">
      <c r="A201" s="4"/>
      <c r="B201" s="21"/>
      <c r="C201" s="4"/>
      <c r="D201" s="2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22.5" customHeight="1">
      <c r="A202" s="4"/>
      <c r="B202" s="21"/>
      <c r="C202" s="4"/>
      <c r="D202" s="2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22.5" customHeight="1">
      <c r="A203" s="4"/>
      <c r="B203" s="21"/>
      <c r="C203" s="4"/>
      <c r="D203" s="2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22.5" customHeight="1">
      <c r="A204" s="4"/>
      <c r="B204" s="21"/>
      <c r="C204" s="4"/>
      <c r="D204" s="2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22.5" customHeight="1">
      <c r="A205" s="4"/>
      <c r="B205" s="21"/>
      <c r="C205" s="4"/>
      <c r="D205" s="2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22.5" customHeight="1">
      <c r="A206" s="4"/>
      <c r="B206" s="21"/>
      <c r="C206" s="4"/>
      <c r="D206" s="2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22.5" customHeight="1">
      <c r="A207" s="4"/>
      <c r="B207" s="21"/>
      <c r="C207" s="4"/>
      <c r="D207" s="2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22.5" customHeight="1">
      <c r="A208" s="4"/>
      <c r="B208" s="21"/>
      <c r="C208" s="4"/>
      <c r="D208" s="2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22.5" customHeight="1">
      <c r="A209" s="4"/>
      <c r="B209" s="21"/>
      <c r="C209" s="4"/>
      <c r="D209" s="2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22.5" customHeight="1">
      <c r="A210" s="4"/>
      <c r="B210" s="21"/>
      <c r="C210" s="4"/>
      <c r="D210" s="2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22.5" customHeight="1">
      <c r="A211" s="4"/>
      <c r="B211" s="21"/>
      <c r="C211" s="4"/>
      <c r="D211" s="2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22.5" customHeight="1">
      <c r="A212" s="4"/>
      <c r="B212" s="21"/>
      <c r="C212" s="4"/>
      <c r="D212" s="2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22.5" customHeight="1">
      <c r="A213" s="4"/>
      <c r="B213" s="21"/>
      <c r="C213" s="4"/>
      <c r="D213" s="2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22.5" customHeight="1">
      <c r="A214" s="4"/>
      <c r="B214" s="21"/>
      <c r="C214" s="4"/>
      <c r="D214" s="2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22.5" customHeight="1">
      <c r="A215" s="4"/>
      <c r="B215" s="21"/>
      <c r="C215" s="4"/>
      <c r="D215" s="2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22.5" customHeight="1">
      <c r="A216" s="4"/>
      <c r="B216" s="21"/>
      <c r="C216" s="4"/>
      <c r="D216" s="2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22.5" customHeight="1">
      <c r="A217" s="4"/>
      <c r="B217" s="21"/>
      <c r="C217" s="4"/>
      <c r="D217" s="2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22.5" customHeight="1">
      <c r="A218" s="4"/>
      <c r="B218" s="21"/>
      <c r="C218" s="4"/>
      <c r="D218" s="2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22.5" customHeight="1">
      <c r="A219" s="4"/>
      <c r="B219" s="21"/>
      <c r="C219" s="4"/>
      <c r="D219" s="2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22.5" customHeight="1">
      <c r="A220" s="4"/>
      <c r="B220" s="21"/>
      <c r="C220" s="4"/>
      <c r="D220" s="2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22.5" customHeight="1">
      <c r="A221" s="4"/>
      <c r="B221" s="21"/>
      <c r="C221" s="4"/>
      <c r="D221" s="2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22.5" customHeight="1">
      <c r="A222" s="4"/>
      <c r="B222" s="21"/>
      <c r="C222" s="4"/>
      <c r="D222" s="2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22.5" customHeight="1">
      <c r="A223" s="4"/>
      <c r="B223" s="21"/>
      <c r="C223" s="4"/>
      <c r="D223" s="2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22.5" customHeight="1">
      <c r="A224" s="4"/>
      <c r="B224" s="21"/>
      <c r="C224" s="4"/>
      <c r="D224" s="2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22.5" customHeight="1">
      <c r="A225" s="4"/>
      <c r="B225" s="21"/>
      <c r="C225" s="4"/>
      <c r="D225" s="2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22.5" customHeight="1">
      <c r="A226" s="4"/>
      <c r="B226" s="21"/>
      <c r="C226" s="4"/>
      <c r="D226" s="2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22.5" customHeight="1">
      <c r="A227" s="4"/>
      <c r="B227" s="21"/>
      <c r="C227" s="4"/>
      <c r="D227" s="2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22.5" customHeight="1">
      <c r="A228" s="4"/>
      <c r="B228" s="21"/>
      <c r="C228" s="4"/>
      <c r="D228" s="2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22.5" customHeight="1">
      <c r="A229" s="4"/>
      <c r="B229" s="21"/>
      <c r="C229" s="4"/>
      <c r="D229" s="2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22.5" customHeight="1">
      <c r="A230" s="4"/>
      <c r="B230" s="21"/>
      <c r="C230" s="4"/>
      <c r="D230" s="2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22.5" customHeight="1">
      <c r="A231" s="4"/>
      <c r="B231" s="21"/>
      <c r="C231" s="4"/>
      <c r="D231" s="2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22.5" customHeight="1">
      <c r="A232" s="4"/>
      <c r="B232" s="21"/>
      <c r="C232" s="4"/>
      <c r="D232" s="2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22.5" customHeight="1">
      <c r="A233" s="4"/>
      <c r="B233" s="21"/>
      <c r="C233" s="4"/>
      <c r="D233" s="2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22.5" customHeight="1">
      <c r="A234" s="4"/>
      <c r="B234" s="21"/>
      <c r="C234" s="4"/>
      <c r="D234" s="2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22.5" customHeight="1">
      <c r="A235" s="4"/>
      <c r="B235" s="21"/>
      <c r="C235" s="4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22.5" customHeight="1">
      <c r="A236" s="4"/>
      <c r="B236" s="21"/>
      <c r="C236" s="4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22.5" customHeight="1">
      <c r="A237" s="4"/>
      <c r="B237" s="21"/>
      <c r="C237" s="4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22.5" customHeight="1">
      <c r="A238" s="4"/>
      <c r="B238" s="21"/>
      <c r="C238" s="4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22.5" customHeight="1">
      <c r="A239" s="4"/>
      <c r="B239" s="21"/>
      <c r="C239" s="4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22.5" customHeight="1">
      <c r="A240" s="4"/>
      <c r="B240" s="21"/>
      <c r="C240" s="4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22.5" customHeight="1">
      <c r="A241" s="4"/>
      <c r="B241" s="21"/>
      <c r="C241" s="4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22.5" customHeight="1">
      <c r="A242" s="4"/>
      <c r="B242" s="21"/>
      <c r="C242" s="4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22.5" customHeight="1">
      <c r="A243" s="4"/>
      <c r="B243" s="21"/>
      <c r="C243" s="4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22.5" customHeight="1">
      <c r="A244" s="4"/>
      <c r="B244" s="21"/>
      <c r="C244" s="4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22.5" customHeight="1">
      <c r="A245" s="4"/>
      <c r="B245" s="21"/>
      <c r="C245" s="4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22.5" customHeight="1">
      <c r="A246" s="4"/>
      <c r="B246" s="21"/>
      <c r="C246" s="4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22.5" customHeight="1">
      <c r="A247" s="4"/>
      <c r="B247" s="21"/>
      <c r="C247" s="4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22.5" customHeight="1">
      <c r="A248" s="4"/>
      <c r="B248" s="21"/>
      <c r="C248" s="4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22.5" customHeight="1">
      <c r="A249" s="4"/>
      <c r="B249" s="21"/>
      <c r="C249" s="4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22.5" customHeight="1">
      <c r="A250" s="4"/>
      <c r="B250" s="21"/>
      <c r="C250" s="4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22.5" customHeight="1">
      <c r="A251" s="4"/>
      <c r="B251" s="21"/>
      <c r="C251" s="4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22.5" customHeight="1">
      <c r="A252" s="4"/>
      <c r="B252" s="21"/>
      <c r="C252" s="4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22.5" customHeight="1">
      <c r="A253" s="4"/>
      <c r="B253" s="21"/>
      <c r="C253" s="4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22.5" customHeight="1">
      <c r="A254" s="4"/>
      <c r="B254" s="21"/>
      <c r="C254" s="4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22.5" customHeight="1">
      <c r="A255" s="4"/>
      <c r="B255" s="21"/>
      <c r="C255" s="4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22.5" customHeight="1">
      <c r="A256" s="4"/>
      <c r="B256" s="21"/>
      <c r="C256" s="4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22.5" customHeight="1">
      <c r="A257" s="4"/>
      <c r="B257" s="21"/>
      <c r="C257" s="4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22.5" customHeight="1">
      <c r="A258" s="4"/>
      <c r="B258" s="21"/>
      <c r="C258" s="4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22.5" customHeight="1">
      <c r="A259" s="4"/>
      <c r="B259" s="21"/>
      <c r="C259" s="4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22.5" customHeight="1">
      <c r="A260" s="4"/>
      <c r="B260" s="21"/>
      <c r="C260" s="4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22.5" customHeight="1">
      <c r="A261" s="4"/>
      <c r="B261" s="21"/>
      <c r="C261" s="4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22.5" customHeight="1">
      <c r="A262" s="4"/>
      <c r="B262" s="21"/>
      <c r="C262" s="4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22.5" customHeight="1">
      <c r="A263" s="4"/>
      <c r="B263" s="21"/>
      <c r="C263" s="4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22.5" customHeight="1">
      <c r="A264" s="4"/>
      <c r="B264" s="21"/>
      <c r="C264" s="4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22.5" customHeight="1">
      <c r="A265" s="4"/>
      <c r="B265" s="21"/>
      <c r="C265" s="4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22.5" customHeight="1">
      <c r="A266" s="4"/>
      <c r="B266" s="21"/>
      <c r="C266" s="4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22.5" customHeight="1">
      <c r="A267" s="4"/>
      <c r="B267" s="21"/>
      <c r="C267" s="4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22.5" customHeight="1">
      <c r="A268" s="4"/>
      <c r="B268" s="21"/>
      <c r="C268" s="4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22.5" customHeight="1">
      <c r="A269" s="4"/>
      <c r="B269" s="21"/>
      <c r="C269" s="4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22.5" customHeight="1">
      <c r="A270" s="4"/>
      <c r="B270" s="21"/>
      <c r="C270" s="4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22.5" customHeight="1">
      <c r="A271" s="4"/>
      <c r="B271" s="21"/>
      <c r="C271" s="4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22.5" customHeight="1">
      <c r="A272" s="4"/>
      <c r="B272" s="21"/>
      <c r="C272" s="4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22.5" customHeight="1">
      <c r="A273" s="4"/>
      <c r="B273" s="21"/>
      <c r="C273" s="4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22.5" customHeight="1">
      <c r="A274" s="4"/>
      <c r="B274" s="21"/>
      <c r="C274" s="4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22.5" customHeight="1">
      <c r="A275" s="4"/>
      <c r="B275" s="21"/>
      <c r="C275" s="4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22.5" customHeight="1">
      <c r="A276" s="4"/>
      <c r="B276" s="21"/>
      <c r="C276" s="4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22.5" customHeight="1">
      <c r="A277" s="4"/>
      <c r="B277" s="21"/>
      <c r="C277" s="4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22.5" customHeight="1">
      <c r="A278" s="4"/>
      <c r="B278" s="21"/>
      <c r="C278" s="4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22.5" customHeight="1">
      <c r="A279" s="4"/>
      <c r="B279" s="21"/>
      <c r="C279" s="4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22.5" customHeight="1">
      <c r="A280" s="4"/>
      <c r="B280" s="21"/>
      <c r="C280" s="4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22.5" customHeight="1">
      <c r="A281" s="4"/>
      <c r="B281" s="21"/>
      <c r="C281" s="4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22.5" customHeight="1">
      <c r="A282" s="4"/>
      <c r="B282" s="21"/>
      <c r="C282" s="4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22.5" customHeight="1">
      <c r="A283" s="4"/>
      <c r="B283" s="21"/>
      <c r="C283" s="4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22.5" customHeight="1">
      <c r="A284" s="4"/>
      <c r="B284" s="21"/>
      <c r="C284" s="4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22.5" customHeight="1">
      <c r="A285" s="4"/>
      <c r="B285" s="21"/>
      <c r="C285" s="4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22.5" customHeight="1">
      <c r="A286" s="4"/>
      <c r="B286" s="21"/>
      <c r="C286" s="4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22.5" customHeight="1">
      <c r="A287" s="4"/>
      <c r="B287" s="21"/>
      <c r="C287" s="4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22.5" customHeight="1">
      <c r="A288" s="4"/>
      <c r="B288" s="21"/>
      <c r="C288" s="4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22.5" customHeight="1">
      <c r="A289" s="4"/>
      <c r="B289" s="21"/>
      <c r="C289" s="4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22.5" customHeight="1">
      <c r="A290" s="4"/>
      <c r="B290" s="21"/>
      <c r="C290" s="4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22.5" customHeight="1">
      <c r="A291" s="4"/>
      <c r="B291" s="21"/>
      <c r="C291" s="4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22.5" customHeight="1">
      <c r="A292" s="4"/>
      <c r="B292" s="21"/>
      <c r="C292" s="4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22.5" customHeight="1">
      <c r="A293" s="4"/>
      <c r="B293" s="21"/>
      <c r="C293" s="4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22.5" customHeight="1">
      <c r="A294" s="4"/>
      <c r="B294" s="21"/>
      <c r="C294" s="4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22.5" customHeight="1">
      <c r="A295" s="4"/>
      <c r="B295" s="21"/>
      <c r="C295" s="4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22.5" customHeight="1">
      <c r="A296" s="4"/>
      <c r="B296" s="21"/>
      <c r="C296" s="4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22.5" customHeight="1">
      <c r="A297" s="4"/>
      <c r="B297" s="21"/>
      <c r="C297" s="4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22.5" customHeight="1">
      <c r="A298" s="4"/>
      <c r="B298" s="21"/>
      <c r="C298" s="4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22.5" customHeight="1">
      <c r="A299" s="4"/>
      <c r="B299" s="21"/>
      <c r="C299" s="4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22.5" customHeight="1">
      <c r="A300" s="4"/>
      <c r="B300" s="21"/>
      <c r="C300" s="4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22.5" customHeight="1">
      <c r="A301" s="4"/>
      <c r="B301" s="21"/>
      <c r="C301" s="4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22.5" customHeight="1">
      <c r="A302" s="4"/>
      <c r="B302" s="21"/>
      <c r="C302" s="4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22.5" customHeight="1">
      <c r="A303" s="4"/>
      <c r="B303" s="21"/>
      <c r="C303" s="4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22.5" customHeight="1">
      <c r="A304" s="4"/>
      <c r="B304" s="21"/>
      <c r="C304" s="4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22.5" customHeight="1">
      <c r="A305" s="4"/>
      <c r="B305" s="21"/>
      <c r="C305" s="4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22.5" customHeight="1">
      <c r="A306" s="4"/>
      <c r="B306" s="21"/>
      <c r="C306" s="4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22.5" customHeight="1">
      <c r="A307" s="4"/>
      <c r="B307" s="21"/>
      <c r="C307" s="4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22.5" customHeight="1">
      <c r="A308" s="4"/>
      <c r="B308" s="21"/>
      <c r="C308" s="4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22.5" customHeight="1">
      <c r="A309" s="4"/>
      <c r="B309" s="21"/>
      <c r="C309" s="4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22.5" customHeight="1">
      <c r="A310" s="4"/>
      <c r="B310" s="21"/>
      <c r="C310" s="4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22.5" customHeight="1">
      <c r="A311" s="4"/>
      <c r="B311" s="21"/>
      <c r="C311" s="4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22.5" customHeight="1">
      <c r="A312" s="4"/>
      <c r="B312" s="21"/>
      <c r="C312" s="4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22.5" customHeight="1">
      <c r="A313" s="4"/>
      <c r="B313" s="21"/>
      <c r="C313" s="4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22.5" customHeight="1">
      <c r="A314" s="4"/>
      <c r="B314" s="21"/>
      <c r="C314" s="4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22.5" customHeight="1">
      <c r="A315" s="4"/>
      <c r="B315" s="21"/>
      <c r="C315" s="4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22.5" customHeight="1">
      <c r="A316" s="4"/>
      <c r="B316" s="21"/>
      <c r="C316" s="4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22.5" customHeight="1">
      <c r="A317" s="4"/>
      <c r="B317" s="21"/>
      <c r="C317" s="4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22.5" customHeight="1">
      <c r="A318" s="4"/>
      <c r="B318" s="21"/>
      <c r="C318" s="4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22.5" customHeight="1">
      <c r="A319" s="4"/>
      <c r="B319" s="21"/>
      <c r="C319" s="4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22.5" customHeight="1">
      <c r="A320" s="4"/>
      <c r="B320" s="21"/>
      <c r="C320" s="4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22.5" customHeight="1">
      <c r="A321" s="4"/>
      <c r="B321" s="21"/>
      <c r="C321" s="4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22.5" customHeight="1">
      <c r="A322" s="4"/>
      <c r="B322" s="21"/>
      <c r="C322" s="4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22.5" customHeight="1">
      <c r="A323" s="4"/>
      <c r="B323" s="21"/>
      <c r="C323" s="4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22.5" customHeight="1">
      <c r="A324" s="4"/>
      <c r="B324" s="21"/>
      <c r="C324" s="4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22.5" customHeight="1">
      <c r="A325" s="4"/>
      <c r="B325" s="21"/>
      <c r="C325" s="4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22.5" customHeight="1">
      <c r="A326" s="4"/>
      <c r="B326" s="21"/>
      <c r="C326" s="4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22.5" customHeight="1">
      <c r="A327" s="4"/>
      <c r="B327" s="21"/>
      <c r="C327" s="4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22.5" customHeight="1">
      <c r="A328" s="4"/>
      <c r="B328" s="21"/>
      <c r="C328" s="4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22.5" customHeight="1">
      <c r="A329" s="4"/>
      <c r="B329" s="21"/>
      <c r="C329" s="4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22.5" customHeight="1">
      <c r="A330" s="4"/>
      <c r="B330" s="21"/>
      <c r="C330" s="4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22.5" customHeight="1">
      <c r="A331" s="4"/>
      <c r="B331" s="21"/>
      <c r="C331" s="4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22.5" customHeight="1">
      <c r="A332" s="4"/>
      <c r="B332" s="21"/>
      <c r="C332" s="4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22.5" customHeight="1">
      <c r="A333" s="4"/>
      <c r="B333" s="21"/>
      <c r="C333" s="4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22.5" customHeight="1">
      <c r="A334" s="4"/>
      <c r="B334" s="21"/>
      <c r="C334" s="4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22.5" customHeight="1">
      <c r="A335" s="4"/>
      <c r="B335" s="21"/>
      <c r="C335" s="4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22.5" customHeight="1">
      <c r="A336" s="4"/>
      <c r="B336" s="21"/>
      <c r="C336" s="4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22.5" customHeight="1">
      <c r="A337" s="4"/>
      <c r="B337" s="21"/>
      <c r="C337" s="4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22.5" customHeight="1">
      <c r="A338" s="4"/>
      <c r="B338" s="21"/>
      <c r="C338" s="4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22.5" customHeight="1">
      <c r="A339" s="4"/>
      <c r="B339" s="21"/>
      <c r="C339" s="4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22.5" customHeight="1">
      <c r="A340" s="4"/>
      <c r="B340" s="21"/>
      <c r="C340" s="4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22.5" customHeight="1">
      <c r="A341" s="4"/>
      <c r="B341" s="21"/>
      <c r="C341" s="4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22.5" customHeight="1">
      <c r="A342" s="4"/>
      <c r="B342" s="21"/>
      <c r="C342" s="4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22.5" customHeight="1">
      <c r="A343" s="4"/>
      <c r="B343" s="21"/>
      <c r="C343" s="4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22.5" customHeight="1">
      <c r="A344" s="4"/>
      <c r="B344" s="21"/>
      <c r="C344" s="4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22.5" customHeight="1">
      <c r="A345" s="4"/>
      <c r="B345" s="21"/>
      <c r="C345" s="4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22.5" customHeight="1">
      <c r="A346" s="4"/>
      <c r="B346" s="21"/>
      <c r="C346" s="4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22.5" customHeight="1">
      <c r="A347" s="4"/>
      <c r="B347" s="21"/>
      <c r="C347" s="4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22.5" customHeight="1">
      <c r="A348" s="4"/>
      <c r="B348" s="21"/>
      <c r="C348" s="4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22.5" customHeight="1">
      <c r="A349" s="4"/>
      <c r="B349" s="21"/>
      <c r="C349" s="4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22.5" customHeight="1">
      <c r="A350" s="4"/>
      <c r="B350" s="21"/>
      <c r="C350" s="4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22.5" customHeight="1">
      <c r="A351" s="4"/>
      <c r="B351" s="21"/>
      <c r="C351" s="4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22.5" customHeight="1">
      <c r="A352" s="4"/>
      <c r="B352" s="21"/>
      <c r="C352" s="4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22.5" customHeight="1">
      <c r="A353" s="4"/>
      <c r="B353" s="21"/>
      <c r="C353" s="4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22.5" customHeight="1">
      <c r="A354" s="4"/>
      <c r="B354" s="21"/>
      <c r="C354" s="4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22.5" customHeight="1">
      <c r="A355" s="4"/>
      <c r="B355" s="21"/>
      <c r="C355" s="4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22.5" customHeight="1">
      <c r="A356" s="4"/>
      <c r="B356" s="21"/>
      <c r="C356" s="4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22.5" customHeight="1">
      <c r="A357" s="4"/>
      <c r="B357" s="21"/>
      <c r="C357" s="4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22.5" customHeight="1">
      <c r="A358" s="4"/>
      <c r="B358" s="21"/>
      <c r="C358" s="4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22.5" customHeight="1">
      <c r="A359" s="4"/>
      <c r="B359" s="21"/>
      <c r="C359" s="4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22.5" customHeight="1">
      <c r="A360" s="4"/>
      <c r="B360" s="21"/>
      <c r="C360" s="4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22.5" customHeight="1">
      <c r="A361" s="4"/>
      <c r="B361" s="21"/>
      <c r="C361" s="4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22.5" customHeight="1">
      <c r="A362" s="4"/>
      <c r="B362" s="21"/>
      <c r="C362" s="4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22.5" customHeight="1">
      <c r="A363" s="4"/>
      <c r="B363" s="21"/>
      <c r="C363" s="4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22.5" customHeight="1">
      <c r="A364" s="4"/>
      <c r="B364" s="21"/>
      <c r="C364" s="4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22.5" customHeight="1">
      <c r="A365" s="4"/>
      <c r="B365" s="21"/>
      <c r="C365" s="4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22.5" customHeight="1">
      <c r="A366" s="4"/>
      <c r="B366" s="21"/>
      <c r="C366" s="4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22.5" customHeight="1">
      <c r="A367" s="4"/>
      <c r="B367" s="21"/>
      <c r="C367" s="4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22.5" customHeight="1">
      <c r="A368" s="4"/>
      <c r="B368" s="21"/>
      <c r="C368" s="4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22.5" customHeight="1">
      <c r="A369" s="4"/>
      <c r="B369" s="21"/>
      <c r="C369" s="4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22.5" customHeight="1">
      <c r="A370" s="4"/>
      <c r="B370" s="21"/>
      <c r="C370" s="4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22.5" customHeight="1">
      <c r="A371" s="4"/>
      <c r="B371" s="21"/>
      <c r="C371" s="4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22.5" customHeight="1">
      <c r="A372" s="4"/>
      <c r="B372" s="21"/>
      <c r="C372" s="4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22.5" customHeight="1">
      <c r="A373" s="4"/>
      <c r="B373" s="21"/>
      <c r="C373" s="4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22.5" customHeight="1">
      <c r="A374" s="4"/>
      <c r="B374" s="21"/>
      <c r="C374" s="4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22.5" customHeight="1">
      <c r="A375" s="4"/>
      <c r="B375" s="21"/>
      <c r="C375" s="4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22.5" customHeight="1">
      <c r="A376" s="4"/>
      <c r="B376" s="21"/>
      <c r="C376" s="4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22.5" customHeight="1">
      <c r="A377" s="4"/>
      <c r="B377" s="21"/>
      <c r="C377" s="4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22.5" customHeight="1">
      <c r="A378" s="4"/>
      <c r="B378" s="21"/>
      <c r="C378" s="4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22.5" customHeight="1">
      <c r="A379" s="4"/>
      <c r="B379" s="21"/>
      <c r="C379" s="4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22.5" customHeight="1">
      <c r="A380" s="4"/>
      <c r="B380" s="21"/>
      <c r="C380" s="4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22.5" customHeight="1">
      <c r="A381" s="4"/>
      <c r="B381" s="21"/>
      <c r="C381" s="4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22.5" customHeight="1">
      <c r="A382" s="4"/>
      <c r="B382" s="21"/>
      <c r="C382" s="4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22.5" customHeight="1">
      <c r="A383" s="4"/>
      <c r="B383" s="21"/>
      <c r="C383" s="4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22.5" customHeight="1">
      <c r="A384" s="4"/>
      <c r="B384" s="21"/>
      <c r="C384" s="4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22.5" customHeight="1">
      <c r="A385" s="4"/>
      <c r="B385" s="21"/>
      <c r="C385" s="4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22.5" customHeight="1">
      <c r="A386" s="4"/>
      <c r="B386" s="21"/>
      <c r="C386" s="4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22.5" customHeight="1">
      <c r="A387" s="4"/>
      <c r="B387" s="21"/>
      <c r="C387" s="4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22.5" customHeight="1">
      <c r="A388" s="4"/>
      <c r="B388" s="21"/>
      <c r="C388" s="4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22.5" customHeight="1">
      <c r="A389" s="4"/>
      <c r="B389" s="21"/>
      <c r="C389" s="4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22.5" customHeight="1">
      <c r="A390" s="4"/>
      <c r="B390" s="21"/>
      <c r="C390" s="4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22.5" customHeight="1">
      <c r="A391" s="4"/>
      <c r="B391" s="21"/>
      <c r="C391" s="4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22.5" customHeight="1">
      <c r="A392" s="4"/>
      <c r="B392" s="21"/>
      <c r="C392" s="4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22.5" customHeight="1">
      <c r="A393" s="4"/>
      <c r="B393" s="21"/>
      <c r="C393" s="4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22.5" customHeight="1">
      <c r="A394" s="4"/>
      <c r="B394" s="21"/>
      <c r="C394" s="4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22.5" customHeight="1">
      <c r="A395" s="4"/>
      <c r="B395" s="21"/>
      <c r="C395" s="4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22.5" customHeight="1">
      <c r="A396" s="4"/>
      <c r="B396" s="21"/>
      <c r="C396" s="4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22.5" customHeight="1">
      <c r="A397" s="4"/>
      <c r="B397" s="21"/>
      <c r="C397" s="4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22.5" customHeight="1">
      <c r="A398" s="4"/>
      <c r="B398" s="21"/>
      <c r="C398" s="4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22.5" customHeight="1">
      <c r="A399" s="4"/>
      <c r="B399" s="21"/>
      <c r="C399" s="4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22.5" customHeight="1">
      <c r="A400" s="4"/>
      <c r="B400" s="21"/>
      <c r="C400" s="4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22.5" customHeight="1">
      <c r="A401" s="4"/>
      <c r="B401" s="21"/>
      <c r="C401" s="4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22.5" customHeight="1">
      <c r="A402" s="4"/>
      <c r="B402" s="21"/>
      <c r="C402" s="4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22.5" customHeight="1">
      <c r="A403" s="4"/>
      <c r="B403" s="21"/>
      <c r="C403" s="4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22.5" customHeight="1">
      <c r="A404" s="4"/>
      <c r="B404" s="21"/>
      <c r="C404" s="4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22.5" customHeight="1">
      <c r="A405" s="4"/>
      <c r="B405" s="21"/>
      <c r="C405" s="4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22.5" customHeight="1">
      <c r="A406" s="4"/>
      <c r="B406" s="21"/>
      <c r="C406" s="4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22.5" customHeight="1">
      <c r="A407" s="4"/>
      <c r="B407" s="21"/>
      <c r="C407" s="4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22.5" customHeight="1">
      <c r="A408" s="4"/>
      <c r="B408" s="21"/>
      <c r="C408" s="4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22.5" customHeight="1">
      <c r="A409" s="4"/>
      <c r="B409" s="21"/>
      <c r="C409" s="4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22.5" customHeight="1">
      <c r="A410" s="4"/>
      <c r="B410" s="21"/>
      <c r="C410" s="4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22.5" customHeight="1">
      <c r="A411" s="4"/>
      <c r="B411" s="21"/>
      <c r="C411" s="4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22.5" customHeight="1">
      <c r="A412" s="4"/>
      <c r="B412" s="21"/>
      <c r="C412" s="4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22.5" customHeight="1">
      <c r="A413" s="4"/>
      <c r="B413" s="21"/>
      <c r="C413" s="4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22.5" customHeight="1">
      <c r="A414" s="4"/>
      <c r="B414" s="21"/>
      <c r="C414" s="4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22.5" customHeight="1">
      <c r="A415" s="4"/>
      <c r="B415" s="21"/>
      <c r="C415" s="4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22.5" customHeight="1">
      <c r="A416" s="4"/>
      <c r="B416" s="21"/>
      <c r="C416" s="4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22.5" customHeight="1">
      <c r="A417" s="4"/>
      <c r="B417" s="21"/>
      <c r="C417" s="4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22.5" customHeight="1">
      <c r="A418" s="4"/>
      <c r="B418" s="21"/>
      <c r="C418" s="4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22.5" customHeight="1">
      <c r="A419" s="4"/>
      <c r="B419" s="21"/>
      <c r="C419" s="4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22.5" customHeight="1">
      <c r="A420" s="4"/>
      <c r="B420" s="21"/>
      <c r="C420" s="4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22.5" customHeight="1">
      <c r="A421" s="4"/>
      <c r="B421" s="21"/>
      <c r="C421" s="4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22.5" customHeight="1">
      <c r="A422" s="4"/>
      <c r="B422" s="21"/>
      <c r="C422" s="4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22.5" customHeight="1">
      <c r="A423" s="4"/>
      <c r="B423" s="21"/>
      <c r="C423" s="4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22.5" customHeight="1">
      <c r="A424" s="4"/>
      <c r="B424" s="21"/>
      <c r="C424" s="4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22.5" customHeight="1">
      <c r="A425" s="4"/>
      <c r="B425" s="21"/>
      <c r="C425" s="4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22.5" customHeight="1">
      <c r="A426" s="4"/>
      <c r="B426" s="21"/>
      <c r="C426" s="4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22.5" customHeight="1">
      <c r="A427" s="4"/>
      <c r="B427" s="21"/>
      <c r="C427" s="4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22.5" customHeight="1">
      <c r="A428" s="4"/>
      <c r="B428" s="21"/>
      <c r="C428" s="4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22.5" customHeight="1">
      <c r="A429" s="4"/>
      <c r="B429" s="21"/>
      <c r="C429" s="4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22.5" customHeight="1">
      <c r="A430" s="4"/>
      <c r="B430" s="21"/>
      <c r="C430" s="4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22.5" customHeight="1">
      <c r="A431" s="4"/>
      <c r="B431" s="21"/>
      <c r="C431" s="4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22.5" customHeight="1">
      <c r="A432" s="4"/>
      <c r="B432" s="21"/>
      <c r="C432" s="4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22.5" customHeight="1">
      <c r="A433" s="4"/>
      <c r="B433" s="21"/>
      <c r="C433" s="4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22.5" customHeight="1">
      <c r="A434" s="4"/>
      <c r="B434" s="21"/>
      <c r="C434" s="4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22.5" customHeight="1">
      <c r="A435" s="4"/>
      <c r="B435" s="21"/>
      <c r="C435" s="4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22.5" customHeight="1">
      <c r="A436" s="4"/>
      <c r="B436" s="21"/>
      <c r="C436" s="4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22.5" customHeight="1">
      <c r="A437" s="4"/>
      <c r="B437" s="21"/>
      <c r="C437" s="4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22.5" customHeight="1">
      <c r="A438" s="4"/>
      <c r="B438" s="21"/>
      <c r="C438" s="4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22.5" customHeight="1">
      <c r="A439" s="4"/>
      <c r="B439" s="21"/>
      <c r="C439" s="4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22.5" customHeight="1">
      <c r="A440" s="4"/>
      <c r="B440" s="21"/>
      <c r="C440" s="4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22.5" customHeight="1">
      <c r="A441" s="4"/>
      <c r="B441" s="21"/>
      <c r="C441" s="4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22.5" customHeight="1">
      <c r="A442" s="4"/>
      <c r="B442" s="21"/>
      <c r="C442" s="4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22.5" customHeight="1">
      <c r="A443" s="4"/>
      <c r="B443" s="21"/>
      <c r="C443" s="4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22.5" customHeight="1">
      <c r="A444" s="4"/>
      <c r="B444" s="21"/>
      <c r="C444" s="4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22.5" customHeight="1">
      <c r="A445" s="4"/>
      <c r="B445" s="21"/>
      <c r="C445" s="4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22.5" customHeight="1">
      <c r="A446" s="4"/>
      <c r="B446" s="21"/>
      <c r="C446" s="4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22.5" customHeight="1">
      <c r="A447" s="4"/>
      <c r="B447" s="21"/>
      <c r="C447" s="4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22.5" customHeight="1">
      <c r="A448" s="4"/>
      <c r="B448" s="21"/>
      <c r="C448" s="4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22.5" customHeight="1">
      <c r="A449" s="4"/>
      <c r="B449" s="21"/>
      <c r="C449" s="4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22.5" customHeight="1">
      <c r="A450" s="4"/>
      <c r="B450" s="21"/>
      <c r="C450" s="4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22.5" customHeight="1">
      <c r="A451" s="4"/>
      <c r="B451" s="21"/>
      <c r="C451" s="4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22.5" customHeight="1">
      <c r="A452" s="4"/>
      <c r="B452" s="21"/>
      <c r="C452" s="4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22.5" customHeight="1">
      <c r="A453" s="4"/>
      <c r="B453" s="21"/>
      <c r="C453" s="4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22.5" customHeight="1">
      <c r="A454" s="4"/>
      <c r="B454" s="21"/>
      <c r="C454" s="4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22.5" customHeight="1">
      <c r="A455" s="4"/>
      <c r="B455" s="21"/>
      <c r="C455" s="4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22.5" customHeight="1">
      <c r="A456" s="4"/>
      <c r="B456" s="21"/>
      <c r="C456" s="4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22.5" customHeight="1">
      <c r="A457" s="4"/>
      <c r="B457" s="21"/>
      <c r="C457" s="4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22.5" customHeight="1">
      <c r="A458" s="4"/>
      <c r="B458" s="21"/>
      <c r="C458" s="4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22.5" customHeight="1">
      <c r="A459" s="4"/>
      <c r="B459" s="21"/>
      <c r="C459" s="4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22.5" customHeight="1">
      <c r="A460" s="4"/>
      <c r="B460" s="21"/>
      <c r="C460" s="4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22.5" customHeight="1">
      <c r="A461" s="4"/>
      <c r="B461" s="21"/>
      <c r="C461" s="4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22.5" customHeight="1">
      <c r="A462" s="4"/>
      <c r="B462" s="21"/>
      <c r="C462" s="4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22.5" customHeight="1">
      <c r="A463" s="4"/>
      <c r="B463" s="21"/>
      <c r="C463" s="4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22.5" customHeight="1">
      <c r="A464" s="4"/>
      <c r="B464" s="21"/>
      <c r="C464" s="4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22.5" customHeight="1">
      <c r="A465" s="4"/>
      <c r="B465" s="21"/>
      <c r="C465" s="4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22.5" customHeight="1">
      <c r="A466" s="4"/>
      <c r="B466" s="21"/>
      <c r="C466" s="4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22.5" customHeight="1">
      <c r="A467" s="4"/>
      <c r="B467" s="21"/>
      <c r="C467" s="4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22.5" customHeight="1">
      <c r="A468" s="4"/>
      <c r="B468" s="21"/>
      <c r="C468" s="4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22.5" customHeight="1">
      <c r="A469" s="4"/>
      <c r="B469" s="21"/>
      <c r="C469" s="4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22.5" customHeight="1">
      <c r="A470" s="4"/>
      <c r="B470" s="21"/>
      <c r="C470" s="4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22.5" customHeight="1">
      <c r="A471" s="4"/>
      <c r="B471" s="21"/>
      <c r="C471" s="4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22.5" customHeight="1">
      <c r="A472" s="4"/>
      <c r="B472" s="21"/>
      <c r="C472" s="4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22.5" customHeight="1">
      <c r="A473" s="4"/>
      <c r="B473" s="21"/>
      <c r="C473" s="4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22.5" customHeight="1">
      <c r="A474" s="4"/>
      <c r="B474" s="21"/>
      <c r="C474" s="4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22.5" customHeight="1">
      <c r="A475" s="4"/>
      <c r="B475" s="21"/>
      <c r="C475" s="4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22.5" customHeight="1">
      <c r="A476" s="4"/>
      <c r="B476" s="21"/>
      <c r="C476" s="4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22.5" customHeight="1">
      <c r="A477" s="4"/>
      <c r="B477" s="21"/>
      <c r="C477" s="4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22.5" customHeight="1">
      <c r="A478" s="4"/>
      <c r="B478" s="21"/>
      <c r="C478" s="4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22.5" customHeight="1">
      <c r="A479" s="4"/>
      <c r="B479" s="21"/>
      <c r="C479" s="4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22.5" customHeight="1">
      <c r="A480" s="4"/>
      <c r="B480" s="21"/>
      <c r="C480" s="4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22.5" customHeight="1">
      <c r="A481" s="4"/>
      <c r="B481" s="21"/>
      <c r="C481" s="4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22.5" customHeight="1">
      <c r="A482" s="4"/>
      <c r="B482" s="21"/>
      <c r="C482" s="4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22.5" customHeight="1">
      <c r="A483" s="4"/>
      <c r="B483" s="21"/>
      <c r="C483" s="4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22.5" customHeight="1">
      <c r="A484" s="4"/>
      <c r="B484" s="21"/>
      <c r="C484" s="4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22.5" customHeight="1">
      <c r="A485" s="4"/>
      <c r="B485" s="21"/>
      <c r="C485" s="4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22.5" customHeight="1">
      <c r="A486" s="4"/>
      <c r="B486" s="21"/>
      <c r="C486" s="4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22.5" customHeight="1">
      <c r="A487" s="4"/>
      <c r="B487" s="21"/>
      <c r="C487" s="4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22.5" customHeight="1">
      <c r="A488" s="4"/>
      <c r="B488" s="21"/>
      <c r="C488" s="4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22.5" customHeight="1">
      <c r="A489" s="4"/>
      <c r="B489" s="21"/>
      <c r="C489" s="4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22.5" customHeight="1">
      <c r="A490" s="4"/>
      <c r="B490" s="21"/>
      <c r="C490" s="4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22.5" customHeight="1">
      <c r="A491" s="4"/>
      <c r="B491" s="21"/>
      <c r="C491" s="4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22.5" customHeight="1">
      <c r="A492" s="4"/>
      <c r="B492" s="21"/>
      <c r="C492" s="4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22.5" customHeight="1">
      <c r="A493" s="4"/>
      <c r="B493" s="21"/>
      <c r="C493" s="4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22.5" customHeight="1">
      <c r="A494" s="4"/>
      <c r="B494" s="21"/>
      <c r="C494" s="4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22.5" customHeight="1">
      <c r="A495" s="4"/>
      <c r="B495" s="21"/>
      <c r="C495" s="4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22.5" customHeight="1">
      <c r="A496" s="4"/>
      <c r="B496" s="21"/>
      <c r="C496" s="4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22.5" customHeight="1">
      <c r="A497" s="4"/>
      <c r="B497" s="21"/>
      <c r="C497" s="4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22.5" customHeight="1">
      <c r="A498" s="4"/>
      <c r="B498" s="21"/>
      <c r="C498" s="4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22.5" customHeight="1">
      <c r="A499" s="4"/>
      <c r="B499" s="21"/>
      <c r="C499" s="4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22.5" customHeight="1">
      <c r="A500" s="4"/>
      <c r="B500" s="21"/>
      <c r="C500" s="4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22.5" customHeight="1">
      <c r="A501" s="4"/>
      <c r="B501" s="21"/>
      <c r="C501" s="4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22.5" customHeight="1">
      <c r="A502" s="4"/>
      <c r="B502" s="21"/>
      <c r="C502" s="4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22.5" customHeight="1">
      <c r="A503" s="4"/>
      <c r="B503" s="21"/>
      <c r="C503" s="4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22.5" customHeight="1">
      <c r="A504" s="4"/>
      <c r="B504" s="21"/>
      <c r="C504" s="4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22.5" customHeight="1">
      <c r="A505" s="4"/>
      <c r="B505" s="21"/>
      <c r="C505" s="4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22.5" customHeight="1">
      <c r="A506" s="4"/>
      <c r="B506" s="21"/>
      <c r="C506" s="4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22.5" customHeight="1">
      <c r="A507" s="4"/>
      <c r="B507" s="21"/>
      <c r="C507" s="4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22.5" customHeight="1">
      <c r="A508" s="4"/>
      <c r="B508" s="21"/>
      <c r="C508" s="4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22.5" customHeight="1">
      <c r="A509" s="4"/>
      <c r="B509" s="21"/>
      <c r="C509" s="4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22.5" customHeight="1">
      <c r="A510" s="4"/>
      <c r="B510" s="21"/>
      <c r="C510" s="4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22.5" customHeight="1">
      <c r="A511" s="4"/>
      <c r="B511" s="21"/>
      <c r="C511" s="4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22.5" customHeight="1">
      <c r="A512" s="4"/>
      <c r="B512" s="21"/>
      <c r="C512" s="4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22.5" customHeight="1">
      <c r="A513" s="4"/>
      <c r="B513" s="21"/>
      <c r="C513" s="4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22.5" customHeight="1">
      <c r="A514" s="4"/>
      <c r="B514" s="21"/>
      <c r="C514" s="4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22.5" customHeight="1">
      <c r="A515" s="4"/>
      <c r="B515" s="21"/>
      <c r="C515" s="4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22.5" customHeight="1">
      <c r="A516" s="4"/>
      <c r="B516" s="21"/>
      <c r="C516" s="4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22.5" customHeight="1">
      <c r="A517" s="4"/>
      <c r="B517" s="21"/>
      <c r="C517" s="4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22.5" customHeight="1">
      <c r="A518" s="4"/>
      <c r="B518" s="21"/>
      <c r="C518" s="4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22.5" customHeight="1">
      <c r="A519" s="4"/>
      <c r="B519" s="21"/>
      <c r="C519" s="4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22.5" customHeight="1">
      <c r="A520" s="4"/>
      <c r="B520" s="21"/>
      <c r="C520" s="4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22.5" customHeight="1">
      <c r="A521" s="4"/>
      <c r="B521" s="21"/>
      <c r="C521" s="4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22.5" customHeight="1">
      <c r="A522" s="4"/>
      <c r="B522" s="21"/>
      <c r="C522" s="4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22.5" customHeight="1">
      <c r="A523" s="4"/>
      <c r="B523" s="21"/>
      <c r="C523" s="4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22.5" customHeight="1">
      <c r="A524" s="4"/>
      <c r="B524" s="21"/>
      <c r="C524" s="4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22.5" customHeight="1">
      <c r="A525" s="4"/>
      <c r="B525" s="21"/>
      <c r="C525" s="4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22.5" customHeight="1">
      <c r="A526" s="4"/>
      <c r="B526" s="21"/>
      <c r="C526" s="4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22.5" customHeight="1">
      <c r="A527" s="4"/>
      <c r="B527" s="21"/>
      <c r="C527" s="4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22.5" customHeight="1">
      <c r="A528" s="4"/>
      <c r="B528" s="21"/>
      <c r="C528" s="4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22.5" customHeight="1">
      <c r="A529" s="4"/>
      <c r="B529" s="21"/>
      <c r="C529" s="4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22.5" customHeight="1">
      <c r="A530" s="4"/>
      <c r="B530" s="21"/>
      <c r="C530" s="4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22.5" customHeight="1">
      <c r="A531" s="4"/>
      <c r="B531" s="21"/>
      <c r="C531" s="4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22.5" customHeight="1">
      <c r="A532" s="4"/>
      <c r="B532" s="21"/>
      <c r="C532" s="4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22.5" customHeight="1">
      <c r="A533" s="4"/>
      <c r="B533" s="21"/>
      <c r="C533" s="4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22.5" customHeight="1">
      <c r="A534" s="4"/>
      <c r="B534" s="21"/>
      <c r="C534" s="4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22.5" customHeight="1">
      <c r="A535" s="4"/>
      <c r="B535" s="21"/>
      <c r="C535" s="4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22.5" customHeight="1">
      <c r="A536" s="4"/>
      <c r="B536" s="21"/>
      <c r="C536" s="4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22.5" customHeight="1">
      <c r="A537" s="4"/>
      <c r="B537" s="21"/>
      <c r="C537" s="4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22.5" customHeight="1">
      <c r="A538" s="4"/>
      <c r="B538" s="21"/>
      <c r="C538" s="4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22.5" customHeight="1">
      <c r="A539" s="4"/>
      <c r="B539" s="21"/>
      <c r="C539" s="4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22.5" customHeight="1">
      <c r="A540" s="4"/>
      <c r="B540" s="21"/>
      <c r="C540" s="4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22.5" customHeight="1">
      <c r="A541" s="4"/>
      <c r="B541" s="21"/>
      <c r="C541" s="4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22.5" customHeight="1">
      <c r="A542" s="4"/>
      <c r="B542" s="21"/>
      <c r="C542" s="4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22.5" customHeight="1">
      <c r="A543" s="4"/>
      <c r="B543" s="21"/>
      <c r="C543" s="4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22.5" customHeight="1">
      <c r="A544" s="4"/>
      <c r="B544" s="21"/>
      <c r="C544" s="4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22.5" customHeight="1">
      <c r="A545" s="4"/>
      <c r="B545" s="21"/>
      <c r="C545" s="4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22.5" customHeight="1">
      <c r="A546" s="4"/>
      <c r="B546" s="21"/>
      <c r="C546" s="4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22.5" customHeight="1">
      <c r="A547" s="4"/>
      <c r="B547" s="21"/>
      <c r="C547" s="4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22.5" customHeight="1">
      <c r="A548" s="4"/>
      <c r="B548" s="21"/>
      <c r="C548" s="4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22.5" customHeight="1">
      <c r="A549" s="4"/>
      <c r="B549" s="21"/>
      <c r="C549" s="4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22.5" customHeight="1">
      <c r="A550" s="4"/>
      <c r="B550" s="21"/>
      <c r="C550" s="4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22.5" customHeight="1">
      <c r="A551" s="4"/>
      <c r="B551" s="21"/>
      <c r="C551" s="4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22.5" customHeight="1">
      <c r="A552" s="4"/>
      <c r="B552" s="21"/>
      <c r="C552" s="4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22.5" customHeight="1">
      <c r="A553" s="4"/>
      <c r="B553" s="21"/>
      <c r="C553" s="4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22.5" customHeight="1">
      <c r="A554" s="4"/>
      <c r="B554" s="21"/>
      <c r="C554" s="4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22.5" customHeight="1">
      <c r="A555" s="4"/>
      <c r="B555" s="21"/>
      <c r="C555" s="4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22.5" customHeight="1">
      <c r="A556" s="4"/>
      <c r="B556" s="21"/>
      <c r="C556" s="4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22.5" customHeight="1">
      <c r="A557" s="4"/>
      <c r="B557" s="21"/>
      <c r="C557" s="4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22.5" customHeight="1">
      <c r="A558" s="4"/>
      <c r="B558" s="21"/>
      <c r="C558" s="4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22.5" customHeight="1">
      <c r="A559" s="4"/>
      <c r="B559" s="21"/>
      <c r="C559" s="4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22.5" customHeight="1">
      <c r="A560" s="4"/>
      <c r="B560" s="21"/>
      <c r="C560" s="4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22.5" customHeight="1">
      <c r="A561" s="4"/>
      <c r="B561" s="21"/>
      <c r="C561" s="4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22.5" customHeight="1">
      <c r="A562" s="4"/>
      <c r="B562" s="21"/>
      <c r="C562" s="4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22.5" customHeight="1">
      <c r="A563" s="4"/>
      <c r="B563" s="21"/>
      <c r="C563" s="4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22.5" customHeight="1">
      <c r="A564" s="4"/>
      <c r="B564" s="21"/>
      <c r="C564" s="4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22.5" customHeight="1">
      <c r="A565" s="4"/>
      <c r="B565" s="21"/>
      <c r="C565" s="4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22.5" customHeight="1">
      <c r="A566" s="4"/>
      <c r="B566" s="21"/>
      <c r="C566" s="4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22.5" customHeight="1">
      <c r="A567" s="4"/>
      <c r="B567" s="21"/>
      <c r="C567" s="4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22.5" customHeight="1">
      <c r="A568" s="4"/>
      <c r="B568" s="21"/>
      <c r="C568" s="4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22.5" customHeight="1">
      <c r="A569" s="4"/>
      <c r="B569" s="21"/>
      <c r="C569" s="4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22.5" customHeight="1">
      <c r="A570" s="4"/>
      <c r="B570" s="21"/>
      <c r="C570" s="4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22.5" customHeight="1">
      <c r="A571" s="4"/>
      <c r="B571" s="21"/>
      <c r="C571" s="4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22.5" customHeight="1">
      <c r="A572" s="4"/>
      <c r="B572" s="21"/>
      <c r="C572" s="4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22.5" customHeight="1">
      <c r="A573" s="4"/>
      <c r="B573" s="21"/>
      <c r="C573" s="4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22.5" customHeight="1">
      <c r="A574" s="4"/>
      <c r="B574" s="21"/>
      <c r="C574" s="4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22.5" customHeight="1">
      <c r="A575" s="4"/>
      <c r="B575" s="21"/>
      <c r="C575" s="4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22.5" customHeight="1">
      <c r="A576" s="4"/>
      <c r="B576" s="21"/>
      <c r="C576" s="4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22.5" customHeight="1">
      <c r="A577" s="4"/>
      <c r="B577" s="21"/>
      <c r="C577" s="4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22.5" customHeight="1">
      <c r="A578" s="4"/>
      <c r="B578" s="21"/>
      <c r="C578" s="4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22.5" customHeight="1">
      <c r="A579" s="4"/>
      <c r="B579" s="21"/>
      <c r="C579" s="4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22.5" customHeight="1">
      <c r="A580" s="4"/>
      <c r="B580" s="21"/>
      <c r="C580" s="4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22.5" customHeight="1">
      <c r="A581" s="4"/>
      <c r="B581" s="21"/>
      <c r="C581" s="4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22.5" customHeight="1">
      <c r="A582" s="4"/>
      <c r="B582" s="21"/>
      <c r="C582" s="4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22.5" customHeight="1">
      <c r="A583" s="4"/>
      <c r="B583" s="21"/>
      <c r="C583" s="4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22.5" customHeight="1">
      <c r="A584" s="4"/>
      <c r="B584" s="21"/>
      <c r="C584" s="4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22.5" customHeight="1">
      <c r="A585" s="4"/>
      <c r="B585" s="21"/>
      <c r="C585" s="4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22.5" customHeight="1">
      <c r="A586" s="4"/>
      <c r="B586" s="21"/>
      <c r="C586" s="4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22.5" customHeight="1">
      <c r="A587" s="4"/>
      <c r="B587" s="21"/>
      <c r="C587" s="4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22.5" customHeight="1">
      <c r="A588" s="4"/>
      <c r="B588" s="21"/>
      <c r="C588" s="4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22.5" customHeight="1">
      <c r="A589" s="4"/>
      <c r="B589" s="21"/>
      <c r="C589" s="4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22.5" customHeight="1">
      <c r="A590" s="4"/>
      <c r="B590" s="21"/>
      <c r="C590" s="4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22.5" customHeight="1">
      <c r="A591" s="4"/>
      <c r="B591" s="21"/>
      <c r="C591" s="4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22.5" customHeight="1">
      <c r="A592" s="4"/>
      <c r="B592" s="21"/>
      <c r="C592" s="4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22.5" customHeight="1">
      <c r="A593" s="4"/>
      <c r="B593" s="21"/>
      <c r="C593" s="4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22.5" customHeight="1">
      <c r="A594" s="4"/>
      <c r="B594" s="21"/>
      <c r="C594" s="4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22.5" customHeight="1">
      <c r="A595" s="4"/>
      <c r="B595" s="21"/>
      <c r="C595" s="4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22.5" customHeight="1">
      <c r="A596" s="4"/>
      <c r="B596" s="21"/>
      <c r="C596" s="4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22.5" customHeight="1">
      <c r="A597" s="4"/>
      <c r="B597" s="21"/>
      <c r="C597" s="4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22.5" customHeight="1">
      <c r="A598" s="4"/>
      <c r="B598" s="21"/>
      <c r="C598" s="4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22.5" customHeight="1">
      <c r="A599" s="4"/>
      <c r="B599" s="21"/>
      <c r="C599" s="4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22.5" customHeight="1">
      <c r="A600" s="4"/>
      <c r="B600" s="21"/>
      <c r="C600" s="4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22.5" customHeight="1">
      <c r="A601" s="4"/>
      <c r="B601" s="21"/>
      <c r="C601" s="4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22.5" customHeight="1">
      <c r="A602" s="4"/>
      <c r="B602" s="21"/>
      <c r="C602" s="4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22.5" customHeight="1">
      <c r="A603" s="4"/>
      <c r="B603" s="21"/>
      <c r="C603" s="4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22.5" customHeight="1">
      <c r="A604" s="4"/>
      <c r="B604" s="21"/>
      <c r="C604" s="4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22.5" customHeight="1">
      <c r="A605" s="4"/>
      <c r="B605" s="21"/>
      <c r="C605" s="4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22.5" customHeight="1">
      <c r="A606" s="4"/>
      <c r="B606" s="21"/>
      <c r="C606" s="4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22.5" customHeight="1">
      <c r="A607" s="4"/>
      <c r="B607" s="21"/>
      <c r="C607" s="4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22.5" customHeight="1">
      <c r="A608" s="4"/>
      <c r="B608" s="21"/>
      <c r="C608" s="4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22.5" customHeight="1">
      <c r="A609" s="4"/>
      <c r="B609" s="21"/>
      <c r="C609" s="4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22.5" customHeight="1">
      <c r="A610" s="4"/>
      <c r="B610" s="21"/>
      <c r="C610" s="4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22.5" customHeight="1">
      <c r="A611" s="4"/>
      <c r="B611" s="21"/>
      <c r="C611" s="4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22.5" customHeight="1">
      <c r="A612" s="4"/>
      <c r="B612" s="21"/>
      <c r="C612" s="4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22.5" customHeight="1">
      <c r="A613" s="4"/>
      <c r="B613" s="21"/>
      <c r="C613" s="4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22.5" customHeight="1">
      <c r="A614" s="4"/>
      <c r="B614" s="21"/>
      <c r="C614" s="4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22.5" customHeight="1">
      <c r="A615" s="4"/>
      <c r="B615" s="21"/>
      <c r="C615" s="4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22.5" customHeight="1">
      <c r="A616" s="4"/>
      <c r="B616" s="21"/>
      <c r="C616" s="4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22.5" customHeight="1">
      <c r="A617" s="4"/>
      <c r="B617" s="21"/>
      <c r="C617" s="4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22.5" customHeight="1">
      <c r="A618" s="4"/>
      <c r="B618" s="21"/>
      <c r="C618" s="4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22.5" customHeight="1">
      <c r="A619" s="4"/>
      <c r="B619" s="21"/>
      <c r="C619" s="4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22.5" customHeight="1">
      <c r="A620" s="4"/>
      <c r="B620" s="21"/>
      <c r="C620" s="4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22.5" customHeight="1">
      <c r="A621" s="4"/>
      <c r="B621" s="21"/>
      <c r="C621" s="4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22.5" customHeight="1">
      <c r="A622" s="4"/>
      <c r="B622" s="21"/>
      <c r="C622" s="4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22.5" customHeight="1">
      <c r="A623" s="4"/>
      <c r="B623" s="21"/>
      <c r="C623" s="4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22.5" customHeight="1">
      <c r="A624" s="4"/>
      <c r="B624" s="21"/>
      <c r="C624" s="4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22.5" customHeight="1">
      <c r="A625" s="4"/>
      <c r="B625" s="21"/>
      <c r="C625" s="4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22.5" customHeight="1">
      <c r="A626" s="4"/>
      <c r="B626" s="21"/>
      <c r="C626" s="4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22.5" customHeight="1">
      <c r="A627" s="4"/>
      <c r="B627" s="21"/>
      <c r="C627" s="4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22.5" customHeight="1">
      <c r="A628" s="4"/>
      <c r="B628" s="21"/>
      <c r="C628" s="4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22.5" customHeight="1">
      <c r="A629" s="4"/>
      <c r="B629" s="21"/>
      <c r="C629" s="4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22.5" customHeight="1">
      <c r="A630" s="4"/>
      <c r="B630" s="21"/>
      <c r="C630" s="4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22.5" customHeight="1">
      <c r="A631" s="4"/>
      <c r="B631" s="21"/>
      <c r="C631" s="4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22.5" customHeight="1">
      <c r="A632" s="4"/>
      <c r="B632" s="21"/>
      <c r="C632" s="4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22.5" customHeight="1">
      <c r="A633" s="4"/>
      <c r="B633" s="21"/>
      <c r="C633" s="4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22.5" customHeight="1">
      <c r="A634" s="4"/>
      <c r="B634" s="21"/>
      <c r="C634" s="4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22.5" customHeight="1">
      <c r="A635" s="4"/>
      <c r="B635" s="21"/>
      <c r="C635" s="4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22.5" customHeight="1">
      <c r="A636" s="4"/>
      <c r="B636" s="21"/>
      <c r="C636" s="4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22.5" customHeight="1">
      <c r="A637" s="4"/>
      <c r="B637" s="21"/>
      <c r="C637" s="4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22.5" customHeight="1">
      <c r="A638" s="4"/>
      <c r="B638" s="21"/>
      <c r="C638" s="4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22.5" customHeight="1">
      <c r="A639" s="4"/>
      <c r="B639" s="21"/>
      <c r="C639" s="4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22.5" customHeight="1">
      <c r="A640" s="4"/>
      <c r="B640" s="21"/>
      <c r="C640" s="4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22.5" customHeight="1">
      <c r="A641" s="4"/>
      <c r="B641" s="21"/>
      <c r="C641" s="4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22.5" customHeight="1">
      <c r="A642" s="4"/>
      <c r="B642" s="21"/>
      <c r="C642" s="4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22.5" customHeight="1">
      <c r="A643" s="4"/>
      <c r="B643" s="21"/>
      <c r="C643" s="4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22.5" customHeight="1">
      <c r="A644" s="4"/>
      <c r="B644" s="21"/>
      <c r="C644" s="4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22.5" customHeight="1">
      <c r="A645" s="4"/>
      <c r="B645" s="21"/>
      <c r="C645" s="4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22.5" customHeight="1">
      <c r="A646" s="4"/>
      <c r="B646" s="21"/>
      <c r="C646" s="4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22.5" customHeight="1">
      <c r="A647" s="4"/>
      <c r="B647" s="21"/>
      <c r="C647" s="4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22.5" customHeight="1">
      <c r="A648" s="4"/>
      <c r="B648" s="21"/>
      <c r="C648" s="4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22.5" customHeight="1">
      <c r="A649" s="4"/>
      <c r="B649" s="21"/>
      <c r="C649" s="4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22.5" customHeight="1">
      <c r="A650" s="4"/>
      <c r="B650" s="21"/>
      <c r="C650" s="4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22.5" customHeight="1">
      <c r="A651" s="4"/>
      <c r="B651" s="21"/>
      <c r="C651" s="4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22.5" customHeight="1">
      <c r="A652" s="4"/>
      <c r="B652" s="21"/>
      <c r="C652" s="4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22.5" customHeight="1">
      <c r="A653" s="4"/>
      <c r="B653" s="21"/>
      <c r="C653" s="4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22.5" customHeight="1">
      <c r="A654" s="4"/>
      <c r="B654" s="21"/>
      <c r="C654" s="4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22.5" customHeight="1">
      <c r="A655" s="4"/>
      <c r="B655" s="21"/>
      <c r="C655" s="4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22.5" customHeight="1">
      <c r="A656" s="4"/>
      <c r="B656" s="21"/>
      <c r="C656" s="4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22.5" customHeight="1">
      <c r="A657" s="4"/>
      <c r="B657" s="21"/>
      <c r="C657" s="4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22.5" customHeight="1">
      <c r="A658" s="4"/>
      <c r="B658" s="21"/>
      <c r="C658" s="4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22.5" customHeight="1">
      <c r="A659" s="4"/>
      <c r="B659" s="21"/>
      <c r="C659" s="4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22.5" customHeight="1">
      <c r="A660" s="4"/>
      <c r="B660" s="21"/>
      <c r="C660" s="4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22.5" customHeight="1">
      <c r="A661" s="4"/>
      <c r="B661" s="21"/>
      <c r="C661" s="4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22.5" customHeight="1">
      <c r="A662" s="4"/>
      <c r="B662" s="21"/>
      <c r="C662" s="4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22.5" customHeight="1">
      <c r="A663" s="4"/>
      <c r="B663" s="21"/>
      <c r="C663" s="4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22.5" customHeight="1">
      <c r="A664" s="4"/>
      <c r="B664" s="21"/>
      <c r="C664" s="4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22.5" customHeight="1">
      <c r="A665" s="4"/>
      <c r="B665" s="21"/>
      <c r="C665" s="4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22.5" customHeight="1">
      <c r="A666" s="4"/>
      <c r="B666" s="21"/>
      <c r="C666" s="4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22.5" customHeight="1">
      <c r="A667" s="4"/>
      <c r="B667" s="21"/>
      <c r="C667" s="4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22.5" customHeight="1">
      <c r="A668" s="4"/>
      <c r="B668" s="21"/>
      <c r="C668" s="4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22.5" customHeight="1">
      <c r="A669" s="4"/>
      <c r="B669" s="21"/>
      <c r="C669" s="4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22.5" customHeight="1">
      <c r="A670" s="4"/>
      <c r="B670" s="21"/>
      <c r="C670" s="4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22.5" customHeight="1">
      <c r="A671" s="4"/>
      <c r="B671" s="21"/>
      <c r="C671" s="4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22.5" customHeight="1">
      <c r="A672" s="4"/>
      <c r="B672" s="21"/>
      <c r="C672" s="4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22.5" customHeight="1">
      <c r="A673" s="4"/>
      <c r="B673" s="21"/>
      <c r="C673" s="4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22.5" customHeight="1">
      <c r="A674" s="4"/>
      <c r="B674" s="21"/>
      <c r="C674" s="4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22.5" customHeight="1">
      <c r="A675" s="4"/>
      <c r="B675" s="21"/>
      <c r="C675" s="4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22.5" customHeight="1">
      <c r="A676" s="4"/>
      <c r="B676" s="21"/>
      <c r="C676" s="4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22.5" customHeight="1">
      <c r="A677" s="4"/>
      <c r="B677" s="21"/>
      <c r="C677" s="4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22.5" customHeight="1">
      <c r="A678" s="4"/>
      <c r="B678" s="21"/>
      <c r="C678" s="4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22.5" customHeight="1">
      <c r="A679" s="4"/>
      <c r="B679" s="21"/>
      <c r="C679" s="4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22.5" customHeight="1">
      <c r="A680" s="4"/>
      <c r="B680" s="21"/>
      <c r="C680" s="4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22.5" customHeight="1">
      <c r="A681" s="4"/>
      <c r="B681" s="21"/>
      <c r="C681" s="4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22.5" customHeight="1">
      <c r="A682" s="4"/>
      <c r="B682" s="21"/>
      <c r="C682" s="4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22.5" customHeight="1">
      <c r="A683" s="4"/>
      <c r="B683" s="21"/>
      <c r="C683" s="4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22.5" customHeight="1">
      <c r="A684" s="4"/>
      <c r="B684" s="21"/>
      <c r="C684" s="4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22.5" customHeight="1">
      <c r="A685" s="4"/>
      <c r="B685" s="21"/>
      <c r="C685" s="4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22.5" customHeight="1">
      <c r="A686" s="4"/>
      <c r="B686" s="21"/>
      <c r="C686" s="4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22.5" customHeight="1">
      <c r="A687" s="4"/>
      <c r="B687" s="21"/>
      <c r="C687" s="4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22.5" customHeight="1">
      <c r="A688" s="4"/>
      <c r="B688" s="21"/>
      <c r="C688" s="4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22.5" customHeight="1">
      <c r="A689" s="4"/>
      <c r="B689" s="21"/>
      <c r="C689" s="4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22.5" customHeight="1">
      <c r="A690" s="4"/>
      <c r="B690" s="21"/>
      <c r="C690" s="4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22.5" customHeight="1">
      <c r="A691" s="4"/>
      <c r="B691" s="21"/>
      <c r="C691" s="4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22.5" customHeight="1">
      <c r="A692" s="4"/>
      <c r="B692" s="21"/>
      <c r="C692" s="4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22.5" customHeight="1">
      <c r="A693" s="4"/>
      <c r="B693" s="21"/>
      <c r="C693" s="4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22.5" customHeight="1">
      <c r="A694" s="4"/>
      <c r="B694" s="21"/>
      <c r="C694" s="4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22.5" customHeight="1">
      <c r="A695" s="4"/>
      <c r="B695" s="21"/>
      <c r="C695" s="4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22.5" customHeight="1">
      <c r="A696" s="4"/>
      <c r="B696" s="21"/>
      <c r="C696" s="4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22.5" customHeight="1">
      <c r="A697" s="4"/>
      <c r="B697" s="21"/>
      <c r="C697" s="4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22.5" customHeight="1">
      <c r="A698" s="4"/>
      <c r="B698" s="21"/>
      <c r="C698" s="4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22.5" customHeight="1">
      <c r="A699" s="4"/>
      <c r="B699" s="21"/>
      <c r="C699" s="4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22.5" customHeight="1">
      <c r="A700" s="4"/>
      <c r="B700" s="21"/>
      <c r="C700" s="4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22.5" customHeight="1">
      <c r="A701" s="4"/>
      <c r="B701" s="21"/>
      <c r="C701" s="4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22.5" customHeight="1">
      <c r="A702" s="4"/>
      <c r="B702" s="21"/>
      <c r="C702" s="4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22.5" customHeight="1">
      <c r="A703" s="4"/>
      <c r="B703" s="21"/>
      <c r="C703" s="4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22.5" customHeight="1">
      <c r="A704" s="4"/>
      <c r="B704" s="21"/>
      <c r="C704" s="4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22.5" customHeight="1">
      <c r="A705" s="4"/>
      <c r="B705" s="21"/>
      <c r="C705" s="4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22.5" customHeight="1">
      <c r="A706" s="4"/>
      <c r="B706" s="21"/>
      <c r="C706" s="4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22.5" customHeight="1">
      <c r="A707" s="4"/>
      <c r="B707" s="21"/>
      <c r="C707" s="4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22.5" customHeight="1">
      <c r="A708" s="4"/>
      <c r="B708" s="21"/>
      <c r="C708" s="4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22.5" customHeight="1">
      <c r="A709" s="4"/>
      <c r="B709" s="21"/>
      <c r="C709" s="4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22.5" customHeight="1">
      <c r="A710" s="4"/>
      <c r="B710" s="21"/>
      <c r="C710" s="4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22.5" customHeight="1">
      <c r="A711" s="4"/>
      <c r="B711" s="21"/>
      <c r="C711" s="4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22.5" customHeight="1">
      <c r="A712" s="4"/>
      <c r="B712" s="21"/>
      <c r="C712" s="4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22.5" customHeight="1">
      <c r="A713" s="4"/>
      <c r="B713" s="21"/>
      <c r="C713" s="4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22.5" customHeight="1">
      <c r="A714" s="4"/>
      <c r="B714" s="21"/>
      <c r="C714" s="4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22.5" customHeight="1">
      <c r="A715" s="4"/>
      <c r="B715" s="21"/>
      <c r="C715" s="4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22.5" customHeight="1">
      <c r="A716" s="4"/>
      <c r="B716" s="21"/>
      <c r="C716" s="4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22.5" customHeight="1">
      <c r="A717" s="4"/>
      <c r="B717" s="21"/>
      <c r="C717" s="4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22.5" customHeight="1">
      <c r="A718" s="4"/>
      <c r="B718" s="21"/>
      <c r="C718" s="4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22.5" customHeight="1">
      <c r="A719" s="4"/>
      <c r="B719" s="21"/>
      <c r="C719" s="4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22.5" customHeight="1">
      <c r="A720" s="4"/>
      <c r="B720" s="21"/>
      <c r="C720" s="4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22.5" customHeight="1">
      <c r="A721" s="4"/>
      <c r="B721" s="21"/>
      <c r="C721" s="4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22.5" customHeight="1">
      <c r="A722" s="4"/>
      <c r="B722" s="21"/>
      <c r="C722" s="4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22.5" customHeight="1">
      <c r="A723" s="4"/>
      <c r="B723" s="21"/>
      <c r="C723" s="4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22.5" customHeight="1">
      <c r="A724" s="4"/>
      <c r="B724" s="21"/>
      <c r="C724" s="4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22.5" customHeight="1">
      <c r="A725" s="4"/>
      <c r="B725" s="21"/>
      <c r="C725" s="4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22.5" customHeight="1">
      <c r="A726" s="4"/>
      <c r="B726" s="21"/>
      <c r="C726" s="4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22.5" customHeight="1">
      <c r="A727" s="4"/>
      <c r="B727" s="21"/>
      <c r="C727" s="4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22.5" customHeight="1">
      <c r="A728" s="4"/>
      <c r="B728" s="21"/>
      <c r="C728" s="4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22.5" customHeight="1">
      <c r="A729" s="4"/>
      <c r="B729" s="21"/>
      <c r="C729" s="4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22.5" customHeight="1">
      <c r="A730" s="4"/>
      <c r="B730" s="21"/>
      <c r="C730" s="4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22.5" customHeight="1">
      <c r="A731" s="4"/>
      <c r="B731" s="21"/>
      <c r="C731" s="4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22.5" customHeight="1">
      <c r="A732" s="4"/>
      <c r="B732" s="21"/>
      <c r="C732" s="4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22.5" customHeight="1">
      <c r="A733" s="4"/>
      <c r="B733" s="21"/>
      <c r="C733" s="4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22.5" customHeight="1">
      <c r="A734" s="4"/>
      <c r="B734" s="21"/>
      <c r="C734" s="4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22.5" customHeight="1">
      <c r="A735" s="4"/>
      <c r="B735" s="21"/>
      <c r="C735" s="4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22.5" customHeight="1">
      <c r="A736" s="4"/>
      <c r="B736" s="21"/>
      <c r="C736" s="4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22.5" customHeight="1">
      <c r="A737" s="4"/>
      <c r="B737" s="21"/>
      <c r="C737" s="4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22.5" customHeight="1">
      <c r="A738" s="4"/>
      <c r="B738" s="21"/>
      <c r="C738" s="4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22.5" customHeight="1">
      <c r="A739" s="4"/>
      <c r="B739" s="21"/>
      <c r="C739" s="4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22.5" customHeight="1">
      <c r="A740" s="4"/>
      <c r="B740" s="21"/>
      <c r="C740" s="4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22.5" customHeight="1">
      <c r="A741" s="4"/>
      <c r="B741" s="21"/>
      <c r="C741" s="4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22.5" customHeight="1">
      <c r="A742" s="4"/>
      <c r="B742" s="21"/>
      <c r="C742" s="4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22.5" customHeight="1">
      <c r="A743" s="4"/>
      <c r="B743" s="21"/>
      <c r="C743" s="4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22.5" customHeight="1">
      <c r="A744" s="4"/>
      <c r="B744" s="21"/>
      <c r="C744" s="4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22.5" customHeight="1">
      <c r="A745" s="4"/>
      <c r="B745" s="21"/>
      <c r="C745" s="4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22.5" customHeight="1">
      <c r="A746" s="4"/>
      <c r="B746" s="21"/>
      <c r="C746" s="4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22.5" customHeight="1">
      <c r="A747" s="4"/>
      <c r="B747" s="21"/>
      <c r="C747" s="4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22.5" customHeight="1">
      <c r="A748" s="4"/>
      <c r="B748" s="21"/>
      <c r="C748" s="4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22.5" customHeight="1">
      <c r="A749" s="4"/>
      <c r="B749" s="21"/>
      <c r="C749" s="4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22.5" customHeight="1">
      <c r="A750" s="4"/>
      <c r="B750" s="21"/>
      <c r="C750" s="4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22.5" customHeight="1">
      <c r="A751" s="4"/>
      <c r="B751" s="21"/>
      <c r="C751" s="4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22.5" customHeight="1">
      <c r="A752" s="4"/>
      <c r="B752" s="21"/>
      <c r="C752" s="4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22.5" customHeight="1">
      <c r="A753" s="4"/>
      <c r="B753" s="21"/>
      <c r="C753" s="4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22.5" customHeight="1">
      <c r="A754" s="4"/>
      <c r="B754" s="21"/>
      <c r="C754" s="4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22.5" customHeight="1">
      <c r="A755" s="4"/>
      <c r="B755" s="21"/>
      <c r="C755" s="4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22.5" customHeight="1">
      <c r="A756" s="4"/>
      <c r="B756" s="21"/>
      <c r="C756" s="4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22.5" customHeight="1">
      <c r="A757" s="4"/>
      <c r="B757" s="21"/>
      <c r="C757" s="4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22.5" customHeight="1">
      <c r="A758" s="4"/>
      <c r="B758" s="21"/>
      <c r="C758" s="4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22.5" customHeight="1">
      <c r="A759" s="4"/>
      <c r="B759" s="21"/>
      <c r="C759" s="4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22.5" customHeight="1">
      <c r="A760" s="4"/>
      <c r="B760" s="21"/>
      <c r="C760" s="4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22.5" customHeight="1">
      <c r="A761" s="4"/>
      <c r="B761" s="21"/>
      <c r="C761" s="4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22.5" customHeight="1">
      <c r="A762" s="4"/>
      <c r="B762" s="21"/>
      <c r="C762" s="4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22.5" customHeight="1">
      <c r="A763" s="4"/>
      <c r="B763" s="21"/>
      <c r="C763" s="4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22.5" customHeight="1">
      <c r="A764" s="4"/>
      <c r="B764" s="21"/>
      <c r="C764" s="4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22.5" customHeight="1">
      <c r="A765" s="4"/>
      <c r="B765" s="21"/>
      <c r="C765" s="4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22.5" customHeight="1">
      <c r="A766" s="4"/>
      <c r="B766" s="21"/>
      <c r="C766" s="4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22.5" customHeight="1">
      <c r="A767" s="4"/>
      <c r="B767" s="21"/>
      <c r="C767" s="4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22.5" customHeight="1">
      <c r="A768" s="4"/>
      <c r="B768" s="21"/>
      <c r="C768" s="4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22.5" customHeight="1">
      <c r="A769" s="4"/>
      <c r="B769" s="21"/>
      <c r="C769" s="4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22.5" customHeight="1">
      <c r="A770" s="4"/>
      <c r="B770" s="21"/>
      <c r="C770" s="4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22.5" customHeight="1">
      <c r="A771" s="4"/>
      <c r="B771" s="21"/>
      <c r="C771" s="4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22.5" customHeight="1">
      <c r="A772" s="4"/>
      <c r="B772" s="21"/>
      <c r="C772" s="4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22.5" customHeight="1">
      <c r="A773" s="4"/>
      <c r="B773" s="21"/>
      <c r="C773" s="4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22.5" customHeight="1">
      <c r="A774" s="4"/>
      <c r="B774" s="21"/>
      <c r="C774" s="4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22.5" customHeight="1">
      <c r="A775" s="4"/>
      <c r="B775" s="21"/>
      <c r="C775" s="4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22.5" customHeight="1">
      <c r="A776" s="4"/>
      <c r="B776" s="21"/>
      <c r="C776" s="4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22.5" customHeight="1">
      <c r="A777" s="4"/>
      <c r="B777" s="21"/>
      <c r="C777" s="4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22.5" customHeight="1">
      <c r="A778" s="4"/>
      <c r="B778" s="21"/>
      <c r="C778" s="4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22.5" customHeight="1">
      <c r="A779" s="4"/>
      <c r="B779" s="21"/>
      <c r="C779" s="4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22.5" customHeight="1">
      <c r="A780" s="4"/>
      <c r="B780" s="21"/>
      <c r="C780" s="4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22.5" customHeight="1">
      <c r="A781" s="4"/>
      <c r="B781" s="21"/>
      <c r="C781" s="4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22.5" customHeight="1">
      <c r="A782" s="4"/>
      <c r="B782" s="21"/>
      <c r="C782" s="4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22.5" customHeight="1">
      <c r="A783" s="4"/>
      <c r="B783" s="21"/>
      <c r="C783" s="4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22.5" customHeight="1">
      <c r="A784" s="4"/>
      <c r="B784" s="21"/>
      <c r="C784" s="4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22.5" customHeight="1">
      <c r="A785" s="4"/>
      <c r="B785" s="21"/>
      <c r="C785" s="4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22.5" customHeight="1">
      <c r="A786" s="4"/>
      <c r="B786" s="21"/>
      <c r="C786" s="4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22.5" customHeight="1">
      <c r="A787" s="4"/>
      <c r="B787" s="21"/>
      <c r="C787" s="4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22.5" customHeight="1">
      <c r="A788" s="4"/>
      <c r="B788" s="21"/>
      <c r="C788" s="4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22.5" customHeight="1">
      <c r="A789" s="4"/>
      <c r="B789" s="21"/>
      <c r="C789" s="4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22.5" customHeight="1">
      <c r="A790" s="4"/>
      <c r="B790" s="21"/>
      <c r="C790" s="4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22.5" customHeight="1">
      <c r="A791" s="4"/>
      <c r="B791" s="21"/>
      <c r="C791" s="4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22.5" customHeight="1">
      <c r="A792" s="4"/>
      <c r="B792" s="21"/>
      <c r="C792" s="4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22.5" customHeight="1">
      <c r="A793" s="4"/>
      <c r="B793" s="21"/>
      <c r="C793" s="4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22.5" customHeight="1">
      <c r="A794" s="4"/>
      <c r="B794" s="21"/>
      <c r="C794" s="4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22.5" customHeight="1">
      <c r="A795" s="4"/>
      <c r="B795" s="21"/>
      <c r="C795" s="4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22.5" customHeight="1">
      <c r="A796" s="4"/>
      <c r="B796" s="21"/>
      <c r="C796" s="4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22.5" customHeight="1">
      <c r="A797" s="4"/>
      <c r="B797" s="21"/>
      <c r="C797" s="4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22.5" customHeight="1">
      <c r="A798" s="4"/>
      <c r="B798" s="21"/>
      <c r="C798" s="4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22.5" customHeight="1">
      <c r="A799" s="4"/>
      <c r="B799" s="21"/>
      <c r="C799" s="4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22.5" customHeight="1">
      <c r="A800" s="4"/>
      <c r="B800" s="21"/>
      <c r="C800" s="4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22.5" customHeight="1">
      <c r="A801" s="4"/>
      <c r="B801" s="21"/>
      <c r="C801" s="4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22.5" customHeight="1">
      <c r="A802" s="4"/>
      <c r="B802" s="21"/>
      <c r="C802" s="4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22.5" customHeight="1">
      <c r="A803" s="4"/>
      <c r="B803" s="21"/>
      <c r="C803" s="4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22.5" customHeight="1">
      <c r="A804" s="4"/>
      <c r="B804" s="21"/>
      <c r="C804" s="4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22.5" customHeight="1">
      <c r="A805" s="4"/>
      <c r="B805" s="21"/>
      <c r="C805" s="4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22.5" customHeight="1">
      <c r="A806" s="4"/>
      <c r="B806" s="21"/>
      <c r="C806" s="4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22.5" customHeight="1">
      <c r="A807" s="4"/>
      <c r="B807" s="21"/>
      <c r="C807" s="4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22.5" customHeight="1">
      <c r="A808" s="4"/>
      <c r="B808" s="21"/>
      <c r="C808" s="4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22.5" customHeight="1">
      <c r="A809" s="4"/>
      <c r="B809" s="21"/>
      <c r="C809" s="4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22.5" customHeight="1">
      <c r="A810" s="4"/>
      <c r="B810" s="21"/>
      <c r="C810" s="4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22.5" customHeight="1">
      <c r="A811" s="4"/>
      <c r="B811" s="21"/>
      <c r="C811" s="4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22.5" customHeight="1">
      <c r="A812" s="4"/>
      <c r="B812" s="21"/>
      <c r="C812" s="4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22.5" customHeight="1">
      <c r="A813" s="4"/>
      <c r="B813" s="21"/>
      <c r="C813" s="4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22.5" customHeight="1">
      <c r="A814" s="4"/>
      <c r="B814" s="21"/>
      <c r="C814" s="4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22.5" customHeight="1">
      <c r="A815" s="4"/>
      <c r="B815" s="21"/>
      <c r="C815" s="4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22.5" customHeight="1">
      <c r="A816" s="4"/>
      <c r="B816" s="21"/>
      <c r="C816" s="4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22.5" customHeight="1">
      <c r="A817" s="4"/>
      <c r="B817" s="21"/>
      <c r="C817" s="4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22.5" customHeight="1">
      <c r="A818" s="4"/>
      <c r="B818" s="21"/>
      <c r="C818" s="4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22.5" customHeight="1">
      <c r="A819" s="4"/>
      <c r="B819" s="21"/>
      <c r="C819" s="4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22.5" customHeight="1">
      <c r="A820" s="4"/>
      <c r="B820" s="21"/>
      <c r="C820" s="4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22.5" customHeight="1">
      <c r="A821" s="4"/>
      <c r="B821" s="21"/>
      <c r="C821" s="4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22.5" customHeight="1">
      <c r="A822" s="4"/>
      <c r="B822" s="21"/>
      <c r="C822" s="4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22.5" customHeight="1">
      <c r="A823" s="4"/>
      <c r="B823" s="21"/>
      <c r="C823" s="4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22.5" customHeight="1">
      <c r="A824" s="4"/>
      <c r="B824" s="21"/>
      <c r="C824" s="4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22.5" customHeight="1">
      <c r="A825" s="4"/>
      <c r="B825" s="21"/>
      <c r="C825" s="4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22.5" customHeight="1">
      <c r="A826" s="4"/>
      <c r="B826" s="21"/>
      <c r="C826" s="4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22.5" customHeight="1">
      <c r="A827" s="4"/>
      <c r="B827" s="21"/>
      <c r="C827" s="4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22.5" customHeight="1">
      <c r="A828" s="4"/>
      <c r="B828" s="21"/>
      <c r="C828" s="4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22.5" customHeight="1">
      <c r="A829" s="4"/>
      <c r="B829" s="21"/>
      <c r="C829" s="4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22.5" customHeight="1">
      <c r="A830" s="4"/>
      <c r="B830" s="21"/>
      <c r="C830" s="4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22.5" customHeight="1">
      <c r="A831" s="4"/>
      <c r="B831" s="21"/>
      <c r="C831" s="4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22.5" customHeight="1">
      <c r="A832" s="4"/>
      <c r="B832" s="21"/>
      <c r="C832" s="4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22.5" customHeight="1">
      <c r="A833" s="4"/>
      <c r="B833" s="21"/>
      <c r="C833" s="4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22.5" customHeight="1">
      <c r="A834" s="4"/>
      <c r="B834" s="21"/>
      <c r="C834" s="4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22.5" customHeight="1">
      <c r="A835" s="4"/>
      <c r="B835" s="21"/>
      <c r="C835" s="4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22.5" customHeight="1">
      <c r="A836" s="4"/>
      <c r="B836" s="21"/>
      <c r="C836" s="4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22.5" customHeight="1">
      <c r="A837" s="4"/>
      <c r="B837" s="21"/>
      <c r="C837" s="4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22.5" customHeight="1">
      <c r="A838" s="4"/>
      <c r="B838" s="21"/>
      <c r="C838" s="4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22.5" customHeight="1">
      <c r="A839" s="4"/>
      <c r="B839" s="21"/>
      <c r="C839" s="4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22.5" customHeight="1">
      <c r="A840" s="4"/>
      <c r="B840" s="21"/>
      <c r="C840" s="4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22.5" customHeight="1">
      <c r="A841" s="4"/>
      <c r="B841" s="21"/>
      <c r="C841" s="4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22.5" customHeight="1">
      <c r="A842" s="4"/>
      <c r="B842" s="21"/>
      <c r="C842" s="4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22.5" customHeight="1">
      <c r="A843" s="4"/>
      <c r="B843" s="21"/>
      <c r="C843" s="4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22.5" customHeight="1">
      <c r="A844" s="4"/>
      <c r="B844" s="21"/>
      <c r="C844" s="4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22.5" customHeight="1">
      <c r="A845" s="4"/>
      <c r="B845" s="21"/>
      <c r="C845" s="4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22.5" customHeight="1">
      <c r="A846" s="4"/>
      <c r="B846" s="21"/>
      <c r="C846" s="4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22.5" customHeight="1">
      <c r="A847" s="4"/>
      <c r="B847" s="21"/>
      <c r="C847" s="4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22.5" customHeight="1">
      <c r="A848" s="4"/>
      <c r="B848" s="21"/>
      <c r="C848" s="4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22.5" customHeight="1">
      <c r="A849" s="4"/>
      <c r="B849" s="21"/>
      <c r="C849" s="4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22.5" customHeight="1">
      <c r="A850" s="4"/>
      <c r="B850" s="21"/>
      <c r="C850" s="4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22.5" customHeight="1">
      <c r="A851" s="4"/>
      <c r="B851" s="21"/>
      <c r="C851" s="4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22.5" customHeight="1">
      <c r="A852" s="4"/>
      <c r="B852" s="21"/>
      <c r="C852" s="4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22.5" customHeight="1">
      <c r="A853" s="4"/>
      <c r="B853" s="21"/>
      <c r="C853" s="4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22.5" customHeight="1">
      <c r="A854" s="4"/>
      <c r="B854" s="21"/>
      <c r="C854" s="4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22.5" customHeight="1">
      <c r="A855" s="4"/>
      <c r="B855" s="21"/>
      <c r="C855" s="4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22.5" customHeight="1">
      <c r="A856" s="4"/>
      <c r="B856" s="21"/>
      <c r="C856" s="4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22.5" customHeight="1">
      <c r="A857" s="4"/>
      <c r="B857" s="21"/>
      <c r="C857" s="4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22.5" customHeight="1">
      <c r="A858" s="4"/>
      <c r="B858" s="21"/>
      <c r="C858" s="4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22.5" customHeight="1">
      <c r="A859" s="4"/>
      <c r="B859" s="21"/>
      <c r="C859" s="4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22.5" customHeight="1">
      <c r="A860" s="4"/>
      <c r="B860" s="21"/>
      <c r="C860" s="4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22.5" customHeight="1">
      <c r="A861" s="4"/>
      <c r="B861" s="21"/>
      <c r="C861" s="4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22.5" customHeight="1">
      <c r="A862" s="4"/>
      <c r="B862" s="21"/>
      <c r="C862" s="4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22.5" customHeight="1">
      <c r="A863" s="4"/>
      <c r="B863" s="21"/>
      <c r="C863" s="4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22.5" customHeight="1">
      <c r="A864" s="4"/>
      <c r="B864" s="21"/>
      <c r="C864" s="4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22.5" customHeight="1">
      <c r="A865" s="4"/>
      <c r="B865" s="21"/>
      <c r="C865" s="4"/>
      <c r="D865" s="2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22.5" customHeight="1">
      <c r="A866" s="4"/>
      <c r="B866" s="21"/>
      <c r="C866" s="4"/>
      <c r="D866" s="2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22.5" customHeight="1">
      <c r="A867" s="4"/>
      <c r="B867" s="21"/>
      <c r="C867" s="4"/>
      <c r="D867" s="2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22.5" customHeight="1">
      <c r="A868" s="4"/>
      <c r="B868" s="21"/>
      <c r="C868" s="4"/>
      <c r="D868" s="2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22.5" customHeight="1">
      <c r="A869" s="4"/>
      <c r="B869" s="21"/>
      <c r="C869" s="4"/>
      <c r="D869" s="2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22.5" customHeight="1">
      <c r="A870" s="4"/>
      <c r="B870" s="21"/>
      <c r="C870" s="4"/>
      <c r="D870" s="2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22.5" customHeight="1">
      <c r="A871" s="4"/>
      <c r="B871" s="21"/>
      <c r="C871" s="4"/>
      <c r="D871" s="2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22.5" customHeight="1">
      <c r="A872" s="4"/>
      <c r="B872" s="21"/>
      <c r="C872" s="4"/>
      <c r="D872" s="2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22.5" customHeight="1">
      <c r="A873" s="4"/>
      <c r="B873" s="21"/>
      <c r="C873" s="4"/>
      <c r="D873" s="2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22.5" customHeight="1">
      <c r="A874" s="4"/>
      <c r="B874" s="21"/>
      <c r="C874" s="4"/>
      <c r="D874" s="2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22.5" customHeight="1">
      <c r="A875" s="4"/>
      <c r="B875" s="21"/>
      <c r="C875" s="4"/>
      <c r="D875" s="2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22.5" customHeight="1">
      <c r="A876" s="4"/>
      <c r="B876" s="21"/>
      <c r="C876" s="4"/>
      <c r="D876" s="2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22.5" customHeight="1">
      <c r="A877" s="4"/>
      <c r="B877" s="21"/>
      <c r="C877" s="4"/>
      <c r="D877" s="2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22.5" customHeight="1">
      <c r="A878" s="4"/>
      <c r="B878" s="21"/>
      <c r="C878" s="4"/>
      <c r="D878" s="2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22.5" customHeight="1">
      <c r="A879" s="4"/>
      <c r="B879" s="21"/>
      <c r="C879" s="4"/>
      <c r="D879" s="2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22.5" customHeight="1">
      <c r="A880" s="4"/>
      <c r="B880" s="21"/>
      <c r="C880" s="4"/>
      <c r="D880" s="2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22.5" customHeight="1">
      <c r="A881" s="4"/>
      <c r="B881" s="21"/>
      <c r="C881" s="4"/>
      <c r="D881" s="2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22.5" customHeight="1">
      <c r="A882" s="4"/>
      <c r="B882" s="21"/>
      <c r="C882" s="4"/>
      <c r="D882" s="2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22.5" customHeight="1">
      <c r="A883" s="4"/>
      <c r="B883" s="21"/>
      <c r="C883" s="4"/>
      <c r="D883" s="2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22.5" customHeight="1">
      <c r="A884" s="4"/>
      <c r="B884" s="21"/>
      <c r="C884" s="4"/>
      <c r="D884" s="2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22.5" customHeight="1">
      <c r="A885" s="4"/>
      <c r="B885" s="21"/>
      <c r="C885" s="4"/>
      <c r="D885" s="2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22.5" customHeight="1">
      <c r="A886" s="4"/>
      <c r="B886" s="21"/>
      <c r="C886" s="4"/>
      <c r="D886" s="2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22.5" customHeight="1">
      <c r="A887" s="4"/>
      <c r="B887" s="21"/>
      <c r="C887" s="4"/>
      <c r="D887" s="2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22.5" customHeight="1">
      <c r="A888" s="4"/>
      <c r="B888" s="21"/>
      <c r="C888" s="4"/>
      <c r="D888" s="2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22.5" customHeight="1">
      <c r="A889" s="4"/>
      <c r="B889" s="21"/>
      <c r="C889" s="4"/>
      <c r="D889" s="2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22.5" customHeight="1">
      <c r="A890" s="4"/>
      <c r="B890" s="21"/>
      <c r="C890" s="4"/>
      <c r="D890" s="2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22.5" customHeight="1">
      <c r="A891" s="4"/>
      <c r="B891" s="21"/>
      <c r="C891" s="4"/>
      <c r="D891" s="2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22.5" customHeight="1">
      <c r="A892" s="4"/>
      <c r="B892" s="21"/>
      <c r="C892" s="4"/>
      <c r="D892" s="2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22.5" customHeight="1">
      <c r="A893" s="4"/>
      <c r="B893" s="21"/>
      <c r="C893" s="4"/>
      <c r="D893" s="2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22.5" customHeight="1">
      <c r="A894" s="4"/>
      <c r="B894" s="21"/>
      <c r="C894" s="4"/>
      <c r="D894" s="2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22.5" customHeight="1">
      <c r="A895" s="4"/>
      <c r="B895" s="21"/>
      <c r="C895" s="4"/>
      <c r="D895" s="2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22.5" customHeight="1">
      <c r="A896" s="4"/>
      <c r="B896" s="21"/>
      <c r="C896" s="4"/>
      <c r="D896" s="2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22.5" customHeight="1">
      <c r="A897" s="4"/>
      <c r="B897" s="21"/>
      <c r="C897" s="4"/>
      <c r="D897" s="2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22.5" customHeight="1">
      <c r="A898" s="4"/>
      <c r="B898" s="21"/>
      <c r="C898" s="4"/>
      <c r="D898" s="2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22.5" customHeight="1">
      <c r="A899" s="4"/>
      <c r="B899" s="21"/>
      <c r="C899" s="4"/>
      <c r="D899" s="2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22.5" customHeight="1">
      <c r="A900" s="4"/>
      <c r="B900" s="21"/>
      <c r="C900" s="4"/>
      <c r="D900" s="2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22.5" customHeight="1">
      <c r="A901" s="4"/>
      <c r="B901" s="21"/>
      <c r="C901" s="4"/>
      <c r="D901" s="2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22.5" customHeight="1">
      <c r="A902" s="4"/>
      <c r="B902" s="21"/>
      <c r="C902" s="4"/>
      <c r="D902" s="2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22.5" customHeight="1">
      <c r="A903" s="4"/>
      <c r="B903" s="21"/>
      <c r="C903" s="4"/>
      <c r="D903" s="2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22.5" customHeight="1">
      <c r="A904" s="4"/>
      <c r="B904" s="21"/>
      <c r="C904" s="4"/>
      <c r="D904" s="2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22.5" customHeight="1">
      <c r="A905" s="4"/>
      <c r="B905" s="21"/>
      <c r="C905" s="4"/>
      <c r="D905" s="2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22.5" customHeight="1">
      <c r="A906" s="4"/>
      <c r="B906" s="21"/>
      <c r="C906" s="4"/>
      <c r="D906" s="2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22.5" customHeight="1">
      <c r="A907" s="4"/>
      <c r="B907" s="21"/>
      <c r="C907" s="4"/>
      <c r="D907" s="2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22.5" customHeight="1">
      <c r="A908" s="4"/>
      <c r="B908" s="21"/>
      <c r="C908" s="4"/>
      <c r="D908" s="2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22.5" customHeight="1">
      <c r="A909" s="4"/>
      <c r="B909" s="21"/>
      <c r="C909" s="4"/>
      <c r="D909" s="2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22.5" customHeight="1">
      <c r="A910" s="4"/>
      <c r="B910" s="21"/>
      <c r="C910" s="4"/>
      <c r="D910" s="2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22.5" customHeight="1">
      <c r="A911" s="4"/>
      <c r="B911" s="21"/>
      <c r="C911" s="4"/>
      <c r="D911" s="2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22.5" customHeight="1">
      <c r="A912" s="4"/>
      <c r="B912" s="21"/>
      <c r="C912" s="4"/>
      <c r="D912" s="2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22.5" customHeight="1">
      <c r="A913" s="4"/>
      <c r="B913" s="21"/>
      <c r="C913" s="4"/>
      <c r="D913" s="2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22.5" customHeight="1">
      <c r="A914" s="4"/>
      <c r="B914" s="21"/>
      <c r="C914" s="4"/>
      <c r="D914" s="2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22.5" customHeight="1">
      <c r="A915" s="4"/>
      <c r="B915" s="21"/>
      <c r="C915" s="4"/>
      <c r="D915" s="2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22.5" customHeight="1">
      <c r="A916" s="4"/>
      <c r="B916" s="21"/>
      <c r="C916" s="4"/>
      <c r="D916" s="2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22.5" customHeight="1">
      <c r="A917" s="4"/>
      <c r="B917" s="21"/>
      <c r="C917" s="4"/>
      <c r="D917" s="2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22.5" customHeight="1">
      <c r="A918" s="4"/>
      <c r="B918" s="21"/>
      <c r="C918" s="4"/>
      <c r="D918" s="2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22.5" customHeight="1">
      <c r="A919" s="4"/>
      <c r="B919" s="21"/>
      <c r="C919" s="4"/>
      <c r="D919" s="2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22.5" customHeight="1">
      <c r="A920" s="4"/>
      <c r="B920" s="21"/>
      <c r="C920" s="4"/>
      <c r="D920" s="2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22.5" customHeight="1">
      <c r="A921" s="4"/>
      <c r="B921" s="21"/>
      <c r="C921" s="4"/>
      <c r="D921" s="2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22.5" customHeight="1">
      <c r="A922" s="4"/>
      <c r="B922" s="21"/>
      <c r="C922" s="4"/>
      <c r="D922" s="2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22.5" customHeight="1">
      <c r="A923" s="4"/>
      <c r="B923" s="21"/>
      <c r="C923" s="4"/>
      <c r="D923" s="2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22.5" customHeight="1">
      <c r="A924" s="4"/>
      <c r="B924" s="21"/>
      <c r="C924" s="4"/>
      <c r="D924" s="2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22.5" customHeight="1">
      <c r="A925" s="4"/>
      <c r="B925" s="21"/>
      <c r="C925" s="4"/>
      <c r="D925" s="2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22.5" customHeight="1">
      <c r="A926" s="4"/>
      <c r="B926" s="21"/>
      <c r="C926" s="4"/>
      <c r="D926" s="2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22.5" customHeight="1">
      <c r="A927" s="4"/>
      <c r="B927" s="21"/>
      <c r="C927" s="4"/>
      <c r="D927" s="2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22.5" customHeight="1">
      <c r="A928" s="4"/>
      <c r="B928" s="21"/>
      <c r="C928" s="4"/>
      <c r="D928" s="2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22.5" customHeight="1">
      <c r="A929" s="4"/>
      <c r="B929" s="21"/>
      <c r="C929" s="4"/>
      <c r="D929" s="2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22.5" customHeight="1">
      <c r="A930" s="4"/>
      <c r="B930" s="21"/>
      <c r="C930" s="4"/>
      <c r="D930" s="2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22.5" customHeight="1">
      <c r="A931" s="4"/>
      <c r="B931" s="21"/>
      <c r="C931" s="4"/>
      <c r="D931" s="2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22.5" customHeight="1">
      <c r="A932" s="4"/>
      <c r="B932" s="21"/>
      <c r="C932" s="4"/>
      <c r="D932" s="2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22.5" customHeight="1">
      <c r="A933" s="4"/>
      <c r="B933" s="21"/>
      <c r="C933" s="4"/>
      <c r="D933" s="2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22.5" customHeight="1">
      <c r="A934" s="4"/>
      <c r="B934" s="21"/>
      <c r="C934" s="4"/>
      <c r="D934" s="2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22.5" customHeight="1">
      <c r="A935" s="4"/>
      <c r="B935" s="21"/>
      <c r="C935" s="4"/>
      <c r="D935" s="2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22.5" customHeight="1">
      <c r="A936" s="4"/>
      <c r="B936" s="21"/>
      <c r="C936" s="4"/>
      <c r="D936" s="2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22.5" customHeight="1">
      <c r="A937" s="4"/>
      <c r="B937" s="21"/>
      <c r="C937" s="4"/>
      <c r="D937" s="2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22.5" customHeight="1">
      <c r="A938" s="4"/>
      <c r="B938" s="21"/>
      <c r="C938" s="4"/>
      <c r="D938" s="2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22.5" customHeight="1">
      <c r="A939" s="4"/>
      <c r="B939" s="21"/>
      <c r="C939" s="4"/>
      <c r="D939" s="2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22.5" customHeight="1">
      <c r="A940" s="4"/>
      <c r="B940" s="21"/>
      <c r="C940" s="4"/>
      <c r="D940" s="2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22.5" customHeight="1">
      <c r="A941" s="4"/>
      <c r="B941" s="21"/>
      <c r="C941" s="4"/>
      <c r="D941" s="2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22.5" customHeight="1">
      <c r="A942" s="4"/>
      <c r="B942" s="21"/>
      <c r="C942" s="4"/>
      <c r="D942" s="2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22.5" customHeight="1">
      <c r="A943" s="4"/>
      <c r="B943" s="21"/>
      <c r="C943" s="4"/>
      <c r="D943" s="2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22.5" customHeight="1">
      <c r="A944" s="4"/>
      <c r="B944" s="21"/>
      <c r="C944" s="4"/>
      <c r="D944" s="2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22.5" customHeight="1">
      <c r="A945" s="4"/>
      <c r="B945" s="21"/>
      <c r="C945" s="4"/>
      <c r="D945" s="2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22.5" customHeight="1">
      <c r="A946" s="4"/>
      <c r="B946" s="21"/>
      <c r="C946" s="4"/>
      <c r="D946" s="2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22.5" customHeight="1">
      <c r="A947" s="4"/>
      <c r="B947" s="21"/>
      <c r="C947" s="4"/>
      <c r="D947" s="2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22.5" customHeight="1">
      <c r="A948" s="4"/>
      <c r="B948" s="21"/>
      <c r="C948" s="4"/>
      <c r="D948" s="2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22.5" customHeight="1">
      <c r="A949" s="4"/>
      <c r="B949" s="21"/>
      <c r="C949" s="4"/>
      <c r="D949" s="2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22.5" customHeight="1">
      <c r="A950" s="4"/>
      <c r="B950" s="21"/>
      <c r="C950" s="4"/>
      <c r="D950" s="2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22.5" customHeight="1">
      <c r="A951" s="4"/>
      <c r="B951" s="21"/>
      <c r="C951" s="4"/>
      <c r="D951" s="2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22.5" customHeight="1">
      <c r="A952" s="4"/>
      <c r="B952" s="21"/>
      <c r="C952" s="4"/>
      <c r="D952" s="2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22.5" customHeight="1">
      <c r="A953" s="4"/>
      <c r="B953" s="21"/>
      <c r="C953" s="4"/>
      <c r="D953" s="2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22.5" customHeight="1">
      <c r="A954" s="4"/>
      <c r="B954" s="21"/>
      <c r="C954" s="4"/>
      <c r="D954" s="2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22.5" customHeight="1">
      <c r="A955" s="4"/>
      <c r="B955" s="21"/>
      <c r="C955" s="4"/>
      <c r="D955" s="2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22.5" customHeight="1">
      <c r="A956" s="4"/>
      <c r="B956" s="21"/>
      <c r="C956" s="4"/>
      <c r="D956" s="2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22.5" customHeight="1">
      <c r="A957" s="4"/>
      <c r="B957" s="21"/>
      <c r="C957" s="4"/>
      <c r="D957" s="2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22.5" customHeight="1">
      <c r="A958" s="4"/>
      <c r="B958" s="21"/>
      <c r="C958" s="4"/>
      <c r="D958" s="2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22.5" customHeight="1">
      <c r="A959" s="4"/>
      <c r="B959" s="21"/>
      <c r="C959" s="4"/>
      <c r="D959" s="2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22.5" customHeight="1">
      <c r="A960" s="4"/>
      <c r="B960" s="21"/>
      <c r="C960" s="4"/>
      <c r="D960" s="2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22.5" customHeight="1">
      <c r="A961" s="4"/>
      <c r="B961" s="21"/>
      <c r="C961" s="4"/>
      <c r="D961" s="2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22.5" customHeight="1">
      <c r="A962" s="4"/>
      <c r="B962" s="21"/>
      <c r="C962" s="4"/>
      <c r="D962" s="2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22.5" customHeight="1">
      <c r="A963" s="4"/>
      <c r="B963" s="21"/>
      <c r="C963" s="4"/>
      <c r="D963" s="2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22.5" customHeight="1">
      <c r="A964" s="4"/>
      <c r="B964" s="21"/>
      <c r="C964" s="4"/>
      <c r="D964" s="2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22.5" customHeight="1">
      <c r="A965" s="4"/>
      <c r="B965" s="21"/>
      <c r="C965" s="4"/>
      <c r="D965" s="2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22.5" customHeight="1">
      <c r="A966" s="4"/>
      <c r="B966" s="21"/>
      <c r="C966" s="4"/>
      <c r="D966" s="2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22.5" customHeight="1">
      <c r="A967" s="4"/>
      <c r="B967" s="21"/>
      <c r="C967" s="4"/>
      <c r="D967" s="2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22.5" customHeight="1">
      <c r="A968" s="4"/>
      <c r="B968" s="21"/>
      <c r="C968" s="4"/>
      <c r="D968" s="2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22.5" customHeight="1">
      <c r="A969" s="4"/>
      <c r="B969" s="21"/>
      <c r="C969" s="4"/>
      <c r="D969" s="2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22.5" customHeight="1">
      <c r="A970" s="4"/>
      <c r="B970" s="21"/>
      <c r="C970" s="4"/>
      <c r="D970" s="2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22.5" customHeight="1">
      <c r="A971" s="4"/>
      <c r="B971" s="21"/>
      <c r="C971" s="4"/>
      <c r="D971" s="2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22.5" customHeight="1">
      <c r="A972" s="4"/>
      <c r="B972" s="21"/>
      <c r="C972" s="4"/>
      <c r="D972" s="2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22.5" customHeight="1">
      <c r="A973" s="4"/>
      <c r="B973" s="21"/>
      <c r="C973" s="4"/>
      <c r="D973" s="2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22.5" customHeight="1">
      <c r="A974" s="4"/>
      <c r="B974" s="21"/>
      <c r="C974" s="4"/>
      <c r="D974" s="2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22.5" customHeight="1">
      <c r="A975" s="4"/>
      <c r="B975" s="21"/>
      <c r="C975" s="4"/>
      <c r="D975" s="2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22.5" customHeight="1">
      <c r="A976" s="4"/>
      <c r="B976" s="21"/>
      <c r="C976" s="4"/>
      <c r="D976" s="2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22.5" customHeight="1">
      <c r="A977" s="4"/>
      <c r="B977" s="21"/>
      <c r="C977" s="4"/>
      <c r="D977" s="2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22.5" customHeight="1">
      <c r="A978" s="4"/>
      <c r="B978" s="21"/>
      <c r="C978" s="4"/>
      <c r="D978" s="2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22.5" customHeight="1">
      <c r="A979" s="4"/>
      <c r="B979" s="21"/>
      <c r="C979" s="4"/>
      <c r="D979" s="2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22.5" customHeight="1">
      <c r="A980" s="4"/>
      <c r="B980" s="21"/>
      <c r="C980" s="4"/>
      <c r="D980" s="2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22.5" customHeight="1">
      <c r="A981" s="4"/>
      <c r="B981" s="21"/>
      <c r="C981" s="4"/>
      <c r="D981" s="2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22.5" customHeight="1">
      <c r="A982" s="4"/>
      <c r="B982" s="21"/>
      <c r="C982" s="4"/>
      <c r="D982" s="2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22.5" customHeight="1">
      <c r="A983" s="4"/>
      <c r="B983" s="21"/>
      <c r="C983" s="4"/>
      <c r="D983" s="2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22.5" customHeight="1">
      <c r="A984" s="4"/>
      <c r="B984" s="21"/>
      <c r="C984" s="4"/>
      <c r="D984" s="2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0.88"/>
    <col customWidth="1" min="3" max="4" width="12.13"/>
    <col customWidth="1" min="5" max="5" width="9.5"/>
    <col customWidth="1" min="6" max="6" width="14.63"/>
    <col customWidth="1" min="7" max="11" width="12.63"/>
    <col customWidth="1" min="12" max="12" width="13.0"/>
    <col customWidth="1" min="13" max="17" width="12.63"/>
    <col customWidth="1" min="18" max="30" width="14.63"/>
  </cols>
  <sheetData>
    <row r="1" ht="15.0" customHeight="1">
      <c r="A1" s="4"/>
      <c r="B1" s="21"/>
      <c r="C1" s="4"/>
      <c r="D1" s="22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8.0" customHeight="1">
      <c r="A2" s="52" t="s">
        <v>53</v>
      </c>
      <c r="B2" s="53" t="s">
        <v>54</v>
      </c>
      <c r="C2" s="53" t="s">
        <v>55</v>
      </c>
      <c r="D2" s="52" t="s">
        <v>56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8.0" customHeight="1">
      <c r="A3" s="54" t="s">
        <v>57</v>
      </c>
      <c r="B3" s="55">
        <v>10000.0</v>
      </c>
      <c r="C3" s="54">
        <v>14.0</v>
      </c>
      <c r="D3" s="51">
        <f t="shared" ref="D3:D7" si="1">B3*C3</f>
        <v>140000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8.0" customHeight="1">
      <c r="A4" s="54" t="s">
        <v>58</v>
      </c>
      <c r="B4" s="55">
        <v>5000.0</v>
      </c>
      <c r="C4" s="54">
        <v>14.0</v>
      </c>
      <c r="D4" s="51">
        <f t="shared" si="1"/>
        <v>70000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8.0" customHeight="1">
      <c r="A5" s="54" t="s">
        <v>59</v>
      </c>
      <c r="B5" s="55">
        <v>5000.0</v>
      </c>
      <c r="C5" s="54">
        <v>14.0</v>
      </c>
      <c r="D5" s="51">
        <f t="shared" si="1"/>
        <v>70000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8.0" customHeight="1">
      <c r="A6" s="54" t="s">
        <v>60</v>
      </c>
      <c r="B6" s="55">
        <v>30000.0</v>
      </c>
      <c r="C6" s="54">
        <v>1.0</v>
      </c>
      <c r="D6" s="51">
        <f t="shared" si="1"/>
        <v>30000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8.0" customHeight="1">
      <c r="A7" s="40"/>
      <c r="B7" s="50"/>
      <c r="C7" s="40"/>
      <c r="D7" s="51">
        <f t="shared" si="1"/>
        <v>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8.0" customHeight="1">
      <c r="A8" s="54" t="s">
        <v>61</v>
      </c>
      <c r="B8" s="50"/>
      <c r="C8" s="40"/>
      <c r="D8" s="51">
        <f>SUM(D3:D7)</f>
        <v>310000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8.0" customHeight="1">
      <c r="A9" s="4"/>
      <c r="B9" s="21"/>
      <c r="C9" s="4"/>
      <c r="D9" s="2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8.0" customHeight="1">
      <c r="A10" s="52" t="s">
        <v>62</v>
      </c>
      <c r="B10" s="55" t="s">
        <v>63</v>
      </c>
      <c r="C10" s="40"/>
      <c r="D10" s="56" t="s">
        <v>64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8.0" customHeight="1">
      <c r="A11" s="54" t="s">
        <v>65</v>
      </c>
      <c r="B11" s="55">
        <v>330.0</v>
      </c>
      <c r="C11" s="54" t="s">
        <v>66</v>
      </c>
      <c r="D11" s="50">
        <f>$D$8/B11</f>
        <v>939.3939394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8.0" customHeight="1">
      <c r="C12" s="4"/>
      <c r="D12" s="2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8.0" customHeight="1">
      <c r="A13" s="52" t="s">
        <v>67</v>
      </c>
      <c r="B13" s="50"/>
      <c r="C13" s="40"/>
      <c r="D13" s="51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8.0" customHeight="1">
      <c r="A14" s="54" t="s">
        <v>68</v>
      </c>
      <c r="B14" s="57">
        <v>0.1</v>
      </c>
      <c r="C14" s="54" t="s">
        <v>69</v>
      </c>
      <c r="D14" s="58">
        <f>D11*B14</f>
        <v>93.93939394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8.0" customHeight="1">
      <c r="A15" s="54" t="s">
        <v>70</v>
      </c>
      <c r="B15" s="55">
        <v>11000.0</v>
      </c>
      <c r="C15" s="54" t="s">
        <v>71</v>
      </c>
      <c r="D15" s="51">
        <f>B15*D14</f>
        <v>1033333.333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22.5" customHeight="1">
      <c r="A16" s="4"/>
      <c r="B16" s="21"/>
      <c r="C16" s="4"/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22.5" customHeight="1">
      <c r="A17" s="4"/>
      <c r="B17" s="21"/>
      <c r="C17" s="4"/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2.5" customHeight="1">
      <c r="A18" s="4"/>
      <c r="B18" s="21"/>
      <c r="C18" s="4"/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2.5" customHeight="1">
      <c r="A19" s="4"/>
      <c r="B19" s="21"/>
      <c r="C19" s="4"/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2.5" customHeight="1">
      <c r="A20" s="4"/>
      <c r="B20" s="21"/>
      <c r="C20" s="4"/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2.5" customHeight="1">
      <c r="A21" s="4"/>
      <c r="B21" s="21"/>
      <c r="C21" s="4"/>
      <c r="D21" s="2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22.5" customHeight="1">
      <c r="A22" s="4"/>
      <c r="B22" s="21"/>
      <c r="C22" s="4"/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22.5" customHeight="1">
      <c r="A23" s="4"/>
      <c r="B23" s="21"/>
      <c r="C23" s="4"/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22.5" customHeight="1">
      <c r="A24" s="4"/>
      <c r="B24" s="21"/>
      <c r="C24" s="4"/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22.5" customHeight="1">
      <c r="A25" s="4"/>
      <c r="B25" s="21"/>
      <c r="C25" s="4"/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22.5" customHeight="1">
      <c r="A26" s="4"/>
      <c r="B26" s="21"/>
      <c r="C26" s="4"/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22.5" customHeight="1">
      <c r="A27" s="4"/>
      <c r="B27" s="21"/>
      <c r="C27" s="4"/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22.5" customHeight="1">
      <c r="A28" s="4"/>
      <c r="B28" s="21"/>
      <c r="C28" s="4"/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22.5" customHeight="1">
      <c r="A29" s="4"/>
      <c r="B29" s="21"/>
      <c r="C29" s="4"/>
      <c r="D29" s="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22.5" customHeight="1">
      <c r="A30" s="4"/>
      <c r="B30" s="21"/>
      <c r="C30" s="4"/>
      <c r="D30" s="2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2.5" customHeight="1">
      <c r="A31" s="4"/>
      <c r="B31" s="21"/>
      <c r="C31" s="4"/>
      <c r="D31" s="2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2.5" customHeight="1">
      <c r="A32" s="4"/>
      <c r="B32" s="21"/>
      <c r="C32" s="4"/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22.5" customHeight="1">
      <c r="A33" s="4"/>
      <c r="B33" s="21"/>
      <c r="C33" s="4"/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22.5" customHeight="1">
      <c r="A34" s="4"/>
      <c r="B34" s="21"/>
      <c r="C34" s="4"/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22.5" customHeight="1">
      <c r="A35" s="4"/>
      <c r="B35" s="21"/>
      <c r="C35" s="4"/>
      <c r="D35" s="2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2.5" customHeight="1">
      <c r="A36" s="4"/>
      <c r="B36" s="21"/>
      <c r="C36" s="4"/>
      <c r="D36" s="2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22.5" customHeight="1">
      <c r="A37" s="4"/>
      <c r="B37" s="21"/>
      <c r="C37" s="4"/>
      <c r="D37" s="2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2.5" customHeight="1">
      <c r="A38" s="4"/>
      <c r="B38" s="21"/>
      <c r="C38" s="4"/>
      <c r="D38" s="2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22.5" customHeight="1">
      <c r="A39" s="4"/>
      <c r="B39" s="21"/>
      <c r="C39" s="4"/>
      <c r="D39" s="2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22.5" customHeight="1">
      <c r="A40" s="4"/>
      <c r="B40" s="21"/>
      <c r="C40" s="4"/>
      <c r="D40" s="2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22.5" customHeight="1">
      <c r="A41" s="4"/>
      <c r="B41" s="21"/>
      <c r="C41" s="4"/>
      <c r="D41" s="2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22.5" customHeight="1">
      <c r="A42" s="4"/>
      <c r="B42" s="21"/>
      <c r="C42" s="4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22.5" customHeight="1">
      <c r="A43" s="4"/>
      <c r="B43" s="21"/>
      <c r="C43" s="4"/>
      <c r="D43" s="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2.5" customHeight="1">
      <c r="A44" s="4"/>
      <c r="B44" s="21"/>
      <c r="C44" s="4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22.5" customHeight="1">
      <c r="A45" s="4"/>
      <c r="B45" s="21"/>
      <c r="C45" s="4"/>
      <c r="D45" s="2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2.5" customHeight="1">
      <c r="A46" s="4"/>
      <c r="B46" s="21"/>
      <c r="C46" s="4"/>
      <c r="D46" s="2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22.5" customHeight="1">
      <c r="A47" s="4"/>
      <c r="B47" s="21"/>
      <c r="C47" s="4"/>
      <c r="D47" s="2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22.5" customHeight="1">
      <c r="A48" s="4"/>
      <c r="B48" s="21"/>
      <c r="C48" s="4"/>
      <c r="D48" s="2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2.5" customHeight="1">
      <c r="A49" s="4"/>
      <c r="B49" s="21"/>
      <c r="C49" s="4"/>
      <c r="D49" s="2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2.5" customHeight="1">
      <c r="A50" s="4"/>
      <c r="B50" s="21"/>
      <c r="C50" s="4"/>
      <c r="D50" s="2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2.5" customHeight="1">
      <c r="A51" s="4"/>
      <c r="B51" s="21"/>
      <c r="C51" s="4"/>
      <c r="D51" s="2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22.5" customHeight="1">
      <c r="A52" s="4"/>
      <c r="B52" s="21"/>
      <c r="C52" s="4"/>
      <c r="D52" s="2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22.5" customHeight="1">
      <c r="A53" s="4"/>
      <c r="B53" s="21"/>
      <c r="C53" s="4"/>
      <c r="D53" s="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22.5" customHeight="1">
      <c r="A54" s="4"/>
      <c r="B54" s="21"/>
      <c r="C54" s="4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22.5" customHeight="1">
      <c r="A55" s="4"/>
      <c r="B55" s="21"/>
      <c r="C55" s="4"/>
      <c r="D55" s="2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2.5" customHeight="1">
      <c r="A56" s="4"/>
      <c r="B56" s="21"/>
      <c r="C56" s="4"/>
      <c r="D56" s="2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22.5" customHeight="1">
      <c r="A57" s="4"/>
      <c r="B57" s="21"/>
      <c r="C57" s="4"/>
      <c r="D57" s="2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22.5" customHeight="1">
      <c r="A58" s="4"/>
      <c r="B58" s="21"/>
      <c r="C58" s="4"/>
      <c r="D58" s="2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2.5" customHeight="1">
      <c r="A59" s="4"/>
      <c r="B59" s="21"/>
      <c r="C59" s="4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"/>
      <c r="B60" s="21"/>
      <c r="C60" s="4"/>
      <c r="D60" s="2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2.5" customHeight="1">
      <c r="A61" s="4"/>
      <c r="B61" s="21"/>
      <c r="C61" s="4"/>
      <c r="D61" s="2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22.5" customHeight="1">
      <c r="A62" s="4"/>
      <c r="B62" s="21"/>
      <c r="C62" s="4"/>
      <c r="D62" s="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22.5" customHeight="1">
      <c r="A63" s="4"/>
      <c r="B63" s="21"/>
      <c r="C63" s="4"/>
      <c r="D63" s="2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22.5" customHeight="1">
      <c r="A64" s="4"/>
      <c r="B64" s="21"/>
      <c r="C64" s="4"/>
      <c r="D64" s="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22.5" customHeight="1">
      <c r="A65" s="4"/>
      <c r="B65" s="21"/>
      <c r="C65" s="4"/>
      <c r="D65" s="2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22.5" customHeight="1">
      <c r="A66" s="4"/>
      <c r="B66" s="21"/>
      <c r="C66" s="4"/>
      <c r="D66" s="2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2.5" customHeight="1">
      <c r="A67" s="4"/>
      <c r="B67" s="21"/>
      <c r="C67" s="4"/>
      <c r="D67" s="2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2.5" customHeight="1">
      <c r="A68" s="4"/>
      <c r="B68" s="21"/>
      <c r="C68" s="4"/>
      <c r="D68" s="2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22.5" customHeight="1">
      <c r="A69" s="4"/>
      <c r="B69" s="21"/>
      <c r="C69" s="4"/>
      <c r="D69" s="2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22.5" customHeight="1">
      <c r="A70" s="4"/>
      <c r="B70" s="21"/>
      <c r="C70" s="4"/>
      <c r="D70" s="2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22.5" customHeight="1">
      <c r="A71" s="4"/>
      <c r="B71" s="21"/>
      <c r="C71" s="4"/>
      <c r="D71" s="2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22.5" customHeight="1">
      <c r="A72" s="4"/>
      <c r="B72" s="21"/>
      <c r="C72" s="4"/>
      <c r="D72" s="2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2.5" customHeight="1">
      <c r="A73" s="4"/>
      <c r="B73" s="21"/>
      <c r="C73" s="4"/>
      <c r="D73" s="2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22.5" customHeight="1">
      <c r="A74" s="4"/>
      <c r="B74" s="21"/>
      <c r="C74" s="4"/>
      <c r="D74" s="2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22.5" customHeight="1">
      <c r="A75" s="4"/>
      <c r="B75" s="21"/>
      <c r="C75" s="4"/>
      <c r="D75" s="2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22.5" customHeight="1">
      <c r="A76" s="4"/>
      <c r="B76" s="21"/>
      <c r="C76" s="4"/>
      <c r="D76" s="2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22.5" customHeight="1">
      <c r="A77" s="4"/>
      <c r="B77" s="21"/>
      <c r="C77" s="4"/>
      <c r="D77" s="2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22.5" customHeight="1">
      <c r="A78" s="4"/>
      <c r="B78" s="21"/>
      <c r="C78" s="4"/>
      <c r="D78" s="2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22.5" customHeight="1">
      <c r="A79" s="4"/>
      <c r="B79" s="21"/>
      <c r="C79" s="4"/>
      <c r="D79" s="2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22.5" customHeight="1">
      <c r="A80" s="4"/>
      <c r="B80" s="21"/>
      <c r="C80" s="4"/>
      <c r="D80" s="2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22.5" customHeight="1">
      <c r="A81" s="4"/>
      <c r="B81" s="21"/>
      <c r="C81" s="4"/>
      <c r="D81" s="2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22.5" customHeight="1">
      <c r="A82" s="4"/>
      <c r="B82" s="21"/>
      <c r="C82" s="4"/>
      <c r="D82" s="2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22.5" customHeight="1">
      <c r="A83" s="4"/>
      <c r="B83" s="21"/>
      <c r="C83" s="4"/>
      <c r="D83" s="2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22.5" customHeight="1">
      <c r="A84" s="4"/>
      <c r="B84" s="21"/>
      <c r="C84" s="4"/>
      <c r="D84" s="2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22.5" customHeight="1">
      <c r="A85" s="4"/>
      <c r="B85" s="21"/>
      <c r="C85" s="4"/>
      <c r="D85" s="2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22.5" customHeight="1">
      <c r="A86" s="4"/>
      <c r="B86" s="21"/>
      <c r="C86" s="4"/>
      <c r="D86" s="2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22.5" customHeight="1">
      <c r="A87" s="4"/>
      <c r="B87" s="21"/>
      <c r="C87" s="4"/>
      <c r="D87" s="2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22.5" customHeight="1">
      <c r="A88" s="4"/>
      <c r="B88" s="21"/>
      <c r="C88" s="4"/>
      <c r="D88" s="2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22.5" customHeight="1">
      <c r="A89" s="4"/>
      <c r="B89" s="21"/>
      <c r="C89" s="4"/>
      <c r="D89" s="2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22.5" customHeight="1">
      <c r="A90" s="4"/>
      <c r="B90" s="21"/>
      <c r="C90" s="4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22.5" customHeight="1">
      <c r="A91" s="4"/>
      <c r="B91" s="21"/>
      <c r="C91" s="4"/>
      <c r="D91" s="2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22.5" customHeight="1">
      <c r="A92" s="4"/>
      <c r="B92" s="21"/>
      <c r="C92" s="4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22.5" customHeight="1">
      <c r="A93" s="4"/>
      <c r="B93" s="21"/>
      <c r="C93" s="4"/>
      <c r="D93" s="2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22.5" customHeight="1">
      <c r="A94" s="4"/>
      <c r="B94" s="21"/>
      <c r="C94" s="4"/>
      <c r="D94" s="2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22.5" customHeight="1">
      <c r="A95" s="4"/>
      <c r="B95" s="21"/>
      <c r="C95" s="4"/>
      <c r="D95" s="2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22.5" customHeight="1">
      <c r="A96" s="4"/>
      <c r="B96" s="21"/>
      <c r="C96" s="4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22.5" customHeight="1">
      <c r="A97" s="4"/>
      <c r="B97" s="21"/>
      <c r="C97" s="4"/>
      <c r="D97" s="2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22.5" customHeight="1">
      <c r="A98" s="4"/>
      <c r="B98" s="21"/>
      <c r="C98" s="4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22.5" customHeight="1">
      <c r="A99" s="4"/>
      <c r="B99" s="21"/>
      <c r="C99" s="4"/>
      <c r="D99" s="2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22.5" customHeight="1">
      <c r="A100" s="4"/>
      <c r="B100" s="21"/>
      <c r="C100" s="4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22.5" customHeight="1">
      <c r="A101" s="4"/>
      <c r="B101" s="21"/>
      <c r="C101" s="4"/>
      <c r="D101" s="2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22.5" customHeight="1">
      <c r="A102" s="4"/>
      <c r="B102" s="21"/>
      <c r="C102" s="4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22.5" customHeight="1">
      <c r="A103" s="4"/>
      <c r="B103" s="21"/>
      <c r="C103" s="4"/>
      <c r="D103" s="2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22.5" customHeight="1">
      <c r="A104" s="4"/>
      <c r="B104" s="21"/>
      <c r="C104" s="4"/>
      <c r="D104" s="2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22.5" customHeight="1">
      <c r="A105" s="4"/>
      <c r="B105" s="21"/>
      <c r="C105" s="4"/>
      <c r="D105" s="2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22.5" customHeight="1">
      <c r="A106" s="4"/>
      <c r="B106" s="21"/>
      <c r="C106" s="4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22.5" customHeight="1">
      <c r="A107" s="4"/>
      <c r="B107" s="21"/>
      <c r="C107" s="4"/>
      <c r="D107" s="2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22.5" customHeight="1">
      <c r="A108" s="4"/>
      <c r="B108" s="21"/>
      <c r="C108" s="4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22.5" customHeight="1">
      <c r="A109" s="4"/>
      <c r="B109" s="21"/>
      <c r="C109" s="4"/>
      <c r="D109" s="2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22.5" customHeight="1">
      <c r="A110" s="4"/>
      <c r="B110" s="21"/>
      <c r="C110" s="4"/>
      <c r="D110" s="2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22.5" customHeight="1">
      <c r="A111" s="4"/>
      <c r="B111" s="21"/>
      <c r="C111" s="4"/>
      <c r="D111" s="2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22.5" customHeight="1">
      <c r="A112" s="4"/>
      <c r="B112" s="21"/>
      <c r="C112" s="4"/>
      <c r="D112" s="2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22.5" customHeight="1">
      <c r="A113" s="4"/>
      <c r="B113" s="21"/>
      <c r="C113" s="4"/>
      <c r="D113" s="2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22.5" customHeight="1">
      <c r="A114" s="4"/>
      <c r="B114" s="21"/>
      <c r="C114" s="4"/>
      <c r="D114" s="2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22.5" customHeight="1">
      <c r="A115" s="4"/>
      <c r="B115" s="21"/>
      <c r="C115" s="4"/>
      <c r="D115" s="2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22.5" customHeight="1">
      <c r="A116" s="4"/>
      <c r="B116" s="21"/>
      <c r="C116" s="4"/>
      <c r="D116" s="2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22.5" customHeight="1">
      <c r="A117" s="4"/>
      <c r="B117" s="21"/>
      <c r="C117" s="4"/>
      <c r="D117" s="2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22.5" customHeight="1">
      <c r="A118" s="4"/>
      <c r="B118" s="21"/>
      <c r="C118" s="4"/>
      <c r="D118" s="2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22.5" customHeight="1">
      <c r="A119" s="4"/>
      <c r="B119" s="21"/>
      <c r="C119" s="4"/>
      <c r="D119" s="2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22.5" customHeight="1">
      <c r="A120" s="4"/>
      <c r="B120" s="21"/>
      <c r="C120" s="4"/>
      <c r="D120" s="2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22.5" customHeight="1">
      <c r="A121" s="4"/>
      <c r="B121" s="21"/>
      <c r="C121" s="4"/>
      <c r="D121" s="2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22.5" customHeight="1">
      <c r="A122" s="4"/>
      <c r="B122" s="21"/>
      <c r="C122" s="4"/>
      <c r="D122" s="2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22.5" customHeight="1">
      <c r="A123" s="4"/>
      <c r="B123" s="21"/>
      <c r="C123" s="4"/>
      <c r="D123" s="2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22.5" customHeight="1">
      <c r="A124" s="4"/>
      <c r="B124" s="21"/>
      <c r="C124" s="4"/>
      <c r="D124" s="2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22.5" customHeight="1">
      <c r="A125" s="4"/>
      <c r="B125" s="21"/>
      <c r="C125" s="4"/>
      <c r="D125" s="2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22.5" customHeight="1">
      <c r="A126" s="4"/>
      <c r="B126" s="21"/>
      <c r="C126" s="4"/>
      <c r="D126" s="2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22.5" customHeight="1">
      <c r="A127" s="4"/>
      <c r="B127" s="21"/>
      <c r="C127" s="4"/>
      <c r="D127" s="2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22.5" customHeight="1">
      <c r="A128" s="4"/>
      <c r="B128" s="21"/>
      <c r="C128" s="4"/>
      <c r="D128" s="2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22.5" customHeight="1">
      <c r="A129" s="4"/>
      <c r="B129" s="21"/>
      <c r="C129" s="4"/>
      <c r="D129" s="2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22.5" customHeight="1">
      <c r="A130" s="4"/>
      <c r="B130" s="21"/>
      <c r="C130" s="4"/>
      <c r="D130" s="2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22.5" customHeight="1">
      <c r="A131" s="4"/>
      <c r="B131" s="21"/>
      <c r="C131" s="4"/>
      <c r="D131" s="2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22.5" customHeight="1">
      <c r="A132" s="4"/>
      <c r="B132" s="21"/>
      <c r="C132" s="4"/>
      <c r="D132" s="2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22.5" customHeight="1">
      <c r="A133" s="4"/>
      <c r="B133" s="21"/>
      <c r="C133" s="4"/>
      <c r="D133" s="2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22.5" customHeight="1">
      <c r="A134" s="4"/>
      <c r="B134" s="21"/>
      <c r="C134" s="4"/>
      <c r="D134" s="2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22.5" customHeight="1">
      <c r="A135" s="4"/>
      <c r="B135" s="21"/>
      <c r="C135" s="4"/>
      <c r="D135" s="2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22.5" customHeight="1">
      <c r="A136" s="4"/>
      <c r="B136" s="21"/>
      <c r="C136" s="4"/>
      <c r="D136" s="2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22.5" customHeight="1">
      <c r="A137" s="4"/>
      <c r="B137" s="21"/>
      <c r="C137" s="4"/>
      <c r="D137" s="2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22.5" customHeight="1">
      <c r="A138" s="4"/>
      <c r="B138" s="21"/>
      <c r="C138" s="4"/>
      <c r="D138" s="2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22.5" customHeight="1">
      <c r="A139" s="4"/>
      <c r="B139" s="21"/>
      <c r="C139" s="4"/>
      <c r="D139" s="2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22.5" customHeight="1">
      <c r="A140" s="4"/>
      <c r="B140" s="21"/>
      <c r="C140" s="4"/>
      <c r="D140" s="2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22.5" customHeight="1">
      <c r="A141" s="4"/>
      <c r="B141" s="21"/>
      <c r="C141" s="4"/>
      <c r="D141" s="2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22.5" customHeight="1">
      <c r="A142" s="4"/>
      <c r="B142" s="21"/>
      <c r="C142" s="4"/>
      <c r="D142" s="2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22.5" customHeight="1">
      <c r="A143" s="4"/>
      <c r="B143" s="21"/>
      <c r="C143" s="4"/>
      <c r="D143" s="2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22.5" customHeight="1">
      <c r="A144" s="4"/>
      <c r="B144" s="21"/>
      <c r="C144" s="4"/>
      <c r="D144" s="2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22.5" customHeight="1">
      <c r="A145" s="4"/>
      <c r="B145" s="21"/>
      <c r="C145" s="4"/>
      <c r="D145" s="2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22.5" customHeight="1">
      <c r="A146" s="4"/>
      <c r="B146" s="21"/>
      <c r="C146" s="4"/>
      <c r="D146" s="2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22.5" customHeight="1">
      <c r="A147" s="4"/>
      <c r="B147" s="21"/>
      <c r="C147" s="4"/>
      <c r="D147" s="2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22.5" customHeight="1">
      <c r="A148" s="4"/>
      <c r="B148" s="21"/>
      <c r="C148" s="4"/>
      <c r="D148" s="2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22.5" customHeight="1">
      <c r="A149" s="4"/>
      <c r="B149" s="21"/>
      <c r="C149" s="4"/>
      <c r="D149" s="2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22.5" customHeight="1">
      <c r="A150" s="4"/>
      <c r="B150" s="21"/>
      <c r="C150" s="4"/>
      <c r="D150" s="2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22.5" customHeight="1">
      <c r="A151" s="4"/>
      <c r="B151" s="21"/>
      <c r="C151" s="4"/>
      <c r="D151" s="2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22.5" customHeight="1">
      <c r="A152" s="4"/>
      <c r="B152" s="21"/>
      <c r="C152" s="4"/>
      <c r="D152" s="2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22.5" customHeight="1">
      <c r="A153" s="4"/>
      <c r="B153" s="21"/>
      <c r="C153" s="4"/>
      <c r="D153" s="2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22.5" customHeight="1">
      <c r="A154" s="4"/>
      <c r="B154" s="21"/>
      <c r="C154" s="4"/>
      <c r="D154" s="2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22.5" customHeight="1">
      <c r="A155" s="4"/>
      <c r="B155" s="21"/>
      <c r="C155" s="4"/>
      <c r="D155" s="2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22.5" customHeight="1">
      <c r="A156" s="4"/>
      <c r="B156" s="21"/>
      <c r="C156" s="4"/>
      <c r="D156" s="2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22.5" customHeight="1">
      <c r="A157" s="4"/>
      <c r="B157" s="21"/>
      <c r="C157" s="4"/>
      <c r="D157" s="2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22.5" customHeight="1">
      <c r="A158" s="4"/>
      <c r="B158" s="21"/>
      <c r="C158" s="4"/>
      <c r="D158" s="2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22.5" customHeight="1">
      <c r="A159" s="4"/>
      <c r="B159" s="21"/>
      <c r="C159" s="4"/>
      <c r="D159" s="2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22.5" customHeight="1">
      <c r="A160" s="4"/>
      <c r="B160" s="21"/>
      <c r="C160" s="4"/>
      <c r="D160" s="2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22.5" customHeight="1">
      <c r="A161" s="4"/>
      <c r="B161" s="21"/>
      <c r="C161" s="4"/>
      <c r="D161" s="2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22.5" customHeight="1">
      <c r="A162" s="4"/>
      <c r="B162" s="21"/>
      <c r="C162" s="4"/>
      <c r="D162" s="2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22.5" customHeight="1">
      <c r="A163" s="4"/>
      <c r="B163" s="21"/>
      <c r="C163" s="4"/>
      <c r="D163" s="2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22.5" customHeight="1">
      <c r="A164" s="4"/>
      <c r="B164" s="21"/>
      <c r="C164" s="4"/>
      <c r="D164" s="2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22.5" customHeight="1">
      <c r="A165" s="4"/>
      <c r="B165" s="21"/>
      <c r="C165" s="4"/>
      <c r="D165" s="2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22.5" customHeight="1">
      <c r="A166" s="4"/>
      <c r="B166" s="21"/>
      <c r="C166" s="4"/>
      <c r="D166" s="2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22.5" customHeight="1">
      <c r="A167" s="4"/>
      <c r="B167" s="21"/>
      <c r="C167" s="4"/>
      <c r="D167" s="2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22.5" customHeight="1">
      <c r="A168" s="4"/>
      <c r="B168" s="21"/>
      <c r="C168" s="4"/>
      <c r="D168" s="2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22.5" customHeight="1">
      <c r="A169" s="4"/>
      <c r="B169" s="21"/>
      <c r="C169" s="4"/>
      <c r="D169" s="2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22.5" customHeight="1">
      <c r="A170" s="4"/>
      <c r="B170" s="21"/>
      <c r="C170" s="4"/>
      <c r="D170" s="2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22.5" customHeight="1">
      <c r="A171" s="4"/>
      <c r="B171" s="21"/>
      <c r="C171" s="4"/>
      <c r="D171" s="2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22.5" customHeight="1">
      <c r="A172" s="4"/>
      <c r="B172" s="21"/>
      <c r="C172" s="4"/>
      <c r="D172" s="2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22.5" customHeight="1">
      <c r="A173" s="4"/>
      <c r="B173" s="21"/>
      <c r="C173" s="4"/>
      <c r="D173" s="2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22.5" customHeight="1">
      <c r="A174" s="4"/>
      <c r="B174" s="21"/>
      <c r="C174" s="4"/>
      <c r="D174" s="2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22.5" customHeight="1">
      <c r="A175" s="4"/>
      <c r="B175" s="21"/>
      <c r="C175" s="4"/>
      <c r="D175" s="2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22.5" customHeight="1">
      <c r="A176" s="4"/>
      <c r="B176" s="21"/>
      <c r="C176" s="4"/>
      <c r="D176" s="2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22.5" customHeight="1">
      <c r="A177" s="4"/>
      <c r="B177" s="21"/>
      <c r="C177" s="4"/>
      <c r="D177" s="2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22.5" customHeight="1">
      <c r="A178" s="4"/>
      <c r="B178" s="21"/>
      <c r="C178" s="4"/>
      <c r="D178" s="2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22.5" customHeight="1">
      <c r="A179" s="4"/>
      <c r="B179" s="21"/>
      <c r="C179" s="4"/>
      <c r="D179" s="2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22.5" customHeight="1">
      <c r="A180" s="4"/>
      <c r="B180" s="21"/>
      <c r="C180" s="4"/>
      <c r="D180" s="2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22.5" customHeight="1">
      <c r="A181" s="4"/>
      <c r="B181" s="21"/>
      <c r="C181" s="4"/>
      <c r="D181" s="2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22.5" customHeight="1">
      <c r="A182" s="4"/>
      <c r="B182" s="21"/>
      <c r="C182" s="4"/>
      <c r="D182" s="2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22.5" customHeight="1">
      <c r="A183" s="4"/>
      <c r="B183" s="21"/>
      <c r="C183" s="4"/>
      <c r="D183" s="2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22.5" customHeight="1">
      <c r="A184" s="4"/>
      <c r="B184" s="21"/>
      <c r="C184" s="4"/>
      <c r="D184" s="2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22.5" customHeight="1">
      <c r="A185" s="4"/>
      <c r="B185" s="21"/>
      <c r="C185" s="4"/>
      <c r="D185" s="2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22.5" customHeight="1">
      <c r="A186" s="4"/>
      <c r="B186" s="21"/>
      <c r="C186" s="4"/>
      <c r="D186" s="2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22.5" customHeight="1">
      <c r="A187" s="4"/>
      <c r="B187" s="21"/>
      <c r="C187" s="4"/>
      <c r="D187" s="2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22.5" customHeight="1">
      <c r="A188" s="4"/>
      <c r="B188" s="21"/>
      <c r="C188" s="4"/>
      <c r="D188" s="2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22.5" customHeight="1">
      <c r="A189" s="4"/>
      <c r="B189" s="21"/>
      <c r="C189" s="4"/>
      <c r="D189" s="2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22.5" customHeight="1">
      <c r="A190" s="4"/>
      <c r="B190" s="21"/>
      <c r="C190" s="4"/>
      <c r="D190" s="2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22.5" customHeight="1">
      <c r="A191" s="4"/>
      <c r="B191" s="21"/>
      <c r="C191" s="4"/>
      <c r="D191" s="2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22.5" customHeight="1">
      <c r="A192" s="4"/>
      <c r="B192" s="21"/>
      <c r="C192" s="4"/>
      <c r="D192" s="2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22.5" customHeight="1">
      <c r="A193" s="4"/>
      <c r="B193" s="21"/>
      <c r="C193" s="4"/>
      <c r="D193" s="2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22.5" customHeight="1">
      <c r="A194" s="4"/>
      <c r="B194" s="21"/>
      <c r="C194" s="4"/>
      <c r="D194" s="2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22.5" customHeight="1">
      <c r="A195" s="4"/>
      <c r="B195" s="21"/>
      <c r="C195" s="4"/>
      <c r="D195" s="2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22.5" customHeight="1">
      <c r="A196" s="4"/>
      <c r="B196" s="21"/>
      <c r="C196" s="4"/>
      <c r="D196" s="2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22.5" customHeight="1">
      <c r="A197" s="4"/>
      <c r="B197" s="21"/>
      <c r="C197" s="4"/>
      <c r="D197" s="2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22.5" customHeight="1">
      <c r="A198" s="4"/>
      <c r="B198" s="21"/>
      <c r="C198" s="4"/>
      <c r="D198" s="2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22.5" customHeight="1">
      <c r="A199" s="4"/>
      <c r="B199" s="21"/>
      <c r="C199" s="4"/>
      <c r="D199" s="2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22.5" customHeight="1">
      <c r="A200" s="4"/>
      <c r="B200" s="21"/>
      <c r="C200" s="4"/>
      <c r="D200" s="2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22.5" customHeight="1">
      <c r="A201" s="4"/>
      <c r="B201" s="21"/>
      <c r="C201" s="4"/>
      <c r="D201" s="2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22.5" customHeight="1">
      <c r="A202" s="4"/>
      <c r="B202" s="21"/>
      <c r="C202" s="4"/>
      <c r="D202" s="2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22.5" customHeight="1">
      <c r="A203" s="4"/>
      <c r="B203" s="21"/>
      <c r="C203" s="4"/>
      <c r="D203" s="2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22.5" customHeight="1">
      <c r="A204" s="4"/>
      <c r="B204" s="21"/>
      <c r="C204" s="4"/>
      <c r="D204" s="2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22.5" customHeight="1">
      <c r="A205" s="4"/>
      <c r="B205" s="21"/>
      <c r="C205" s="4"/>
      <c r="D205" s="2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22.5" customHeight="1">
      <c r="A206" s="4"/>
      <c r="B206" s="21"/>
      <c r="C206" s="4"/>
      <c r="D206" s="2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22.5" customHeight="1">
      <c r="A207" s="4"/>
      <c r="B207" s="21"/>
      <c r="C207" s="4"/>
      <c r="D207" s="2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22.5" customHeight="1">
      <c r="A208" s="4"/>
      <c r="B208" s="21"/>
      <c r="C208" s="4"/>
      <c r="D208" s="2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22.5" customHeight="1">
      <c r="A209" s="4"/>
      <c r="B209" s="21"/>
      <c r="C209" s="4"/>
      <c r="D209" s="2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22.5" customHeight="1">
      <c r="A210" s="4"/>
      <c r="B210" s="21"/>
      <c r="C210" s="4"/>
      <c r="D210" s="2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22.5" customHeight="1">
      <c r="A211" s="4"/>
      <c r="B211" s="21"/>
      <c r="C211" s="4"/>
      <c r="D211" s="2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22.5" customHeight="1">
      <c r="A212" s="4"/>
      <c r="B212" s="21"/>
      <c r="C212" s="4"/>
      <c r="D212" s="2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22.5" customHeight="1">
      <c r="A213" s="4"/>
      <c r="B213" s="21"/>
      <c r="C213" s="4"/>
      <c r="D213" s="2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22.5" customHeight="1">
      <c r="A214" s="4"/>
      <c r="B214" s="21"/>
      <c r="C214" s="4"/>
      <c r="D214" s="2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22.5" customHeight="1">
      <c r="A215" s="4"/>
      <c r="B215" s="21"/>
      <c r="C215" s="4"/>
      <c r="D215" s="2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22.5" customHeight="1">
      <c r="A216" s="4"/>
      <c r="B216" s="21"/>
      <c r="C216" s="4"/>
      <c r="D216" s="2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22.5" customHeight="1">
      <c r="A217" s="4"/>
      <c r="B217" s="21"/>
      <c r="C217" s="4"/>
      <c r="D217" s="2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22.5" customHeight="1">
      <c r="A218" s="4"/>
      <c r="B218" s="21"/>
      <c r="C218" s="4"/>
      <c r="D218" s="2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22.5" customHeight="1">
      <c r="A219" s="4"/>
      <c r="B219" s="21"/>
      <c r="C219" s="4"/>
      <c r="D219" s="2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22.5" customHeight="1">
      <c r="A220" s="4"/>
      <c r="B220" s="21"/>
      <c r="C220" s="4"/>
      <c r="D220" s="2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22.5" customHeight="1">
      <c r="A221" s="4"/>
      <c r="B221" s="21"/>
      <c r="C221" s="4"/>
      <c r="D221" s="2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22.5" customHeight="1">
      <c r="A222" s="4"/>
      <c r="B222" s="21"/>
      <c r="C222" s="4"/>
      <c r="D222" s="2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22.5" customHeight="1">
      <c r="A223" s="4"/>
      <c r="B223" s="21"/>
      <c r="C223" s="4"/>
      <c r="D223" s="2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22.5" customHeight="1">
      <c r="A224" s="4"/>
      <c r="B224" s="21"/>
      <c r="C224" s="4"/>
      <c r="D224" s="2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22.5" customHeight="1">
      <c r="A225" s="4"/>
      <c r="B225" s="21"/>
      <c r="C225" s="4"/>
      <c r="D225" s="2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22.5" customHeight="1">
      <c r="A226" s="4"/>
      <c r="B226" s="21"/>
      <c r="C226" s="4"/>
      <c r="D226" s="2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22.5" customHeight="1">
      <c r="A227" s="4"/>
      <c r="B227" s="21"/>
      <c r="C227" s="4"/>
      <c r="D227" s="2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22.5" customHeight="1">
      <c r="A228" s="4"/>
      <c r="B228" s="21"/>
      <c r="C228" s="4"/>
      <c r="D228" s="2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22.5" customHeight="1">
      <c r="A229" s="4"/>
      <c r="B229" s="21"/>
      <c r="C229" s="4"/>
      <c r="D229" s="2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22.5" customHeight="1">
      <c r="A230" s="4"/>
      <c r="B230" s="21"/>
      <c r="C230" s="4"/>
      <c r="D230" s="2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22.5" customHeight="1">
      <c r="A231" s="4"/>
      <c r="B231" s="21"/>
      <c r="C231" s="4"/>
      <c r="D231" s="2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22.5" customHeight="1">
      <c r="A232" s="4"/>
      <c r="B232" s="21"/>
      <c r="C232" s="4"/>
      <c r="D232" s="2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22.5" customHeight="1">
      <c r="A233" s="4"/>
      <c r="B233" s="21"/>
      <c r="C233" s="4"/>
      <c r="D233" s="2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22.5" customHeight="1">
      <c r="A234" s="4"/>
      <c r="B234" s="21"/>
      <c r="C234" s="4"/>
      <c r="D234" s="2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22.5" customHeight="1">
      <c r="A235" s="4"/>
      <c r="B235" s="21"/>
      <c r="C235" s="4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22.5" customHeight="1">
      <c r="A236" s="4"/>
      <c r="B236" s="21"/>
      <c r="C236" s="4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22.5" customHeight="1">
      <c r="A237" s="4"/>
      <c r="B237" s="21"/>
      <c r="C237" s="4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22.5" customHeight="1">
      <c r="A238" s="4"/>
      <c r="B238" s="21"/>
      <c r="C238" s="4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22.5" customHeight="1">
      <c r="A239" s="4"/>
      <c r="B239" s="21"/>
      <c r="C239" s="4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22.5" customHeight="1">
      <c r="A240" s="4"/>
      <c r="B240" s="21"/>
      <c r="C240" s="4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22.5" customHeight="1">
      <c r="A241" s="4"/>
      <c r="B241" s="21"/>
      <c r="C241" s="4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22.5" customHeight="1">
      <c r="A242" s="4"/>
      <c r="B242" s="21"/>
      <c r="C242" s="4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22.5" customHeight="1">
      <c r="A243" s="4"/>
      <c r="B243" s="21"/>
      <c r="C243" s="4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22.5" customHeight="1">
      <c r="A244" s="4"/>
      <c r="B244" s="21"/>
      <c r="C244" s="4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22.5" customHeight="1">
      <c r="A245" s="4"/>
      <c r="B245" s="21"/>
      <c r="C245" s="4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22.5" customHeight="1">
      <c r="A246" s="4"/>
      <c r="B246" s="21"/>
      <c r="C246" s="4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22.5" customHeight="1">
      <c r="A247" s="4"/>
      <c r="B247" s="21"/>
      <c r="C247" s="4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22.5" customHeight="1">
      <c r="A248" s="4"/>
      <c r="B248" s="21"/>
      <c r="C248" s="4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22.5" customHeight="1">
      <c r="A249" s="4"/>
      <c r="B249" s="21"/>
      <c r="C249" s="4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22.5" customHeight="1">
      <c r="A250" s="4"/>
      <c r="B250" s="21"/>
      <c r="C250" s="4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22.5" customHeight="1">
      <c r="A251" s="4"/>
      <c r="B251" s="21"/>
      <c r="C251" s="4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22.5" customHeight="1">
      <c r="A252" s="4"/>
      <c r="B252" s="21"/>
      <c r="C252" s="4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22.5" customHeight="1">
      <c r="A253" s="4"/>
      <c r="B253" s="21"/>
      <c r="C253" s="4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22.5" customHeight="1">
      <c r="A254" s="4"/>
      <c r="B254" s="21"/>
      <c r="C254" s="4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22.5" customHeight="1">
      <c r="A255" s="4"/>
      <c r="B255" s="21"/>
      <c r="C255" s="4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22.5" customHeight="1">
      <c r="A256" s="4"/>
      <c r="B256" s="21"/>
      <c r="C256" s="4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22.5" customHeight="1">
      <c r="A257" s="4"/>
      <c r="B257" s="21"/>
      <c r="C257" s="4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22.5" customHeight="1">
      <c r="A258" s="4"/>
      <c r="B258" s="21"/>
      <c r="C258" s="4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22.5" customHeight="1">
      <c r="A259" s="4"/>
      <c r="B259" s="21"/>
      <c r="C259" s="4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22.5" customHeight="1">
      <c r="A260" s="4"/>
      <c r="B260" s="21"/>
      <c r="C260" s="4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22.5" customHeight="1">
      <c r="A261" s="4"/>
      <c r="B261" s="21"/>
      <c r="C261" s="4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22.5" customHeight="1">
      <c r="A262" s="4"/>
      <c r="B262" s="21"/>
      <c r="C262" s="4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22.5" customHeight="1">
      <c r="A263" s="4"/>
      <c r="B263" s="21"/>
      <c r="C263" s="4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22.5" customHeight="1">
      <c r="A264" s="4"/>
      <c r="B264" s="21"/>
      <c r="C264" s="4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22.5" customHeight="1">
      <c r="A265" s="4"/>
      <c r="B265" s="21"/>
      <c r="C265" s="4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22.5" customHeight="1">
      <c r="A266" s="4"/>
      <c r="B266" s="21"/>
      <c r="C266" s="4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22.5" customHeight="1">
      <c r="A267" s="4"/>
      <c r="B267" s="21"/>
      <c r="C267" s="4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22.5" customHeight="1">
      <c r="A268" s="4"/>
      <c r="B268" s="21"/>
      <c r="C268" s="4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22.5" customHeight="1">
      <c r="A269" s="4"/>
      <c r="B269" s="21"/>
      <c r="C269" s="4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22.5" customHeight="1">
      <c r="A270" s="4"/>
      <c r="B270" s="21"/>
      <c r="C270" s="4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22.5" customHeight="1">
      <c r="A271" s="4"/>
      <c r="B271" s="21"/>
      <c r="C271" s="4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22.5" customHeight="1">
      <c r="A272" s="4"/>
      <c r="B272" s="21"/>
      <c r="C272" s="4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22.5" customHeight="1">
      <c r="A273" s="4"/>
      <c r="B273" s="21"/>
      <c r="C273" s="4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22.5" customHeight="1">
      <c r="A274" s="4"/>
      <c r="B274" s="21"/>
      <c r="C274" s="4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22.5" customHeight="1">
      <c r="A275" s="4"/>
      <c r="B275" s="21"/>
      <c r="C275" s="4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22.5" customHeight="1">
      <c r="A276" s="4"/>
      <c r="B276" s="21"/>
      <c r="C276" s="4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22.5" customHeight="1">
      <c r="A277" s="4"/>
      <c r="B277" s="21"/>
      <c r="C277" s="4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22.5" customHeight="1">
      <c r="A278" s="4"/>
      <c r="B278" s="21"/>
      <c r="C278" s="4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22.5" customHeight="1">
      <c r="A279" s="4"/>
      <c r="B279" s="21"/>
      <c r="C279" s="4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22.5" customHeight="1">
      <c r="A280" s="4"/>
      <c r="B280" s="21"/>
      <c r="C280" s="4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22.5" customHeight="1">
      <c r="A281" s="4"/>
      <c r="B281" s="21"/>
      <c r="C281" s="4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22.5" customHeight="1">
      <c r="A282" s="4"/>
      <c r="B282" s="21"/>
      <c r="C282" s="4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22.5" customHeight="1">
      <c r="A283" s="4"/>
      <c r="B283" s="21"/>
      <c r="C283" s="4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22.5" customHeight="1">
      <c r="A284" s="4"/>
      <c r="B284" s="21"/>
      <c r="C284" s="4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22.5" customHeight="1">
      <c r="A285" s="4"/>
      <c r="B285" s="21"/>
      <c r="C285" s="4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22.5" customHeight="1">
      <c r="A286" s="4"/>
      <c r="B286" s="21"/>
      <c r="C286" s="4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22.5" customHeight="1">
      <c r="A287" s="4"/>
      <c r="B287" s="21"/>
      <c r="C287" s="4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22.5" customHeight="1">
      <c r="A288" s="4"/>
      <c r="B288" s="21"/>
      <c r="C288" s="4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22.5" customHeight="1">
      <c r="A289" s="4"/>
      <c r="B289" s="21"/>
      <c r="C289" s="4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22.5" customHeight="1">
      <c r="A290" s="4"/>
      <c r="B290" s="21"/>
      <c r="C290" s="4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22.5" customHeight="1">
      <c r="A291" s="4"/>
      <c r="B291" s="21"/>
      <c r="C291" s="4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22.5" customHeight="1">
      <c r="A292" s="4"/>
      <c r="B292" s="21"/>
      <c r="C292" s="4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22.5" customHeight="1">
      <c r="A293" s="4"/>
      <c r="B293" s="21"/>
      <c r="C293" s="4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22.5" customHeight="1">
      <c r="A294" s="4"/>
      <c r="B294" s="21"/>
      <c r="C294" s="4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22.5" customHeight="1">
      <c r="A295" s="4"/>
      <c r="B295" s="21"/>
      <c r="C295" s="4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22.5" customHeight="1">
      <c r="A296" s="4"/>
      <c r="B296" s="21"/>
      <c r="C296" s="4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22.5" customHeight="1">
      <c r="A297" s="4"/>
      <c r="B297" s="21"/>
      <c r="C297" s="4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22.5" customHeight="1">
      <c r="A298" s="4"/>
      <c r="B298" s="21"/>
      <c r="C298" s="4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22.5" customHeight="1">
      <c r="A299" s="4"/>
      <c r="B299" s="21"/>
      <c r="C299" s="4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22.5" customHeight="1">
      <c r="A300" s="4"/>
      <c r="B300" s="21"/>
      <c r="C300" s="4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22.5" customHeight="1">
      <c r="A301" s="4"/>
      <c r="B301" s="21"/>
      <c r="C301" s="4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22.5" customHeight="1">
      <c r="A302" s="4"/>
      <c r="B302" s="21"/>
      <c r="C302" s="4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22.5" customHeight="1">
      <c r="A303" s="4"/>
      <c r="B303" s="21"/>
      <c r="C303" s="4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22.5" customHeight="1">
      <c r="A304" s="4"/>
      <c r="B304" s="21"/>
      <c r="C304" s="4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22.5" customHeight="1">
      <c r="A305" s="4"/>
      <c r="B305" s="21"/>
      <c r="C305" s="4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22.5" customHeight="1">
      <c r="A306" s="4"/>
      <c r="B306" s="21"/>
      <c r="C306" s="4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22.5" customHeight="1">
      <c r="A307" s="4"/>
      <c r="B307" s="21"/>
      <c r="C307" s="4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22.5" customHeight="1">
      <c r="A308" s="4"/>
      <c r="B308" s="21"/>
      <c r="C308" s="4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22.5" customHeight="1">
      <c r="A309" s="4"/>
      <c r="B309" s="21"/>
      <c r="C309" s="4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22.5" customHeight="1">
      <c r="A310" s="4"/>
      <c r="B310" s="21"/>
      <c r="C310" s="4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22.5" customHeight="1">
      <c r="A311" s="4"/>
      <c r="B311" s="21"/>
      <c r="C311" s="4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22.5" customHeight="1">
      <c r="A312" s="4"/>
      <c r="B312" s="21"/>
      <c r="C312" s="4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22.5" customHeight="1">
      <c r="A313" s="4"/>
      <c r="B313" s="21"/>
      <c r="C313" s="4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22.5" customHeight="1">
      <c r="A314" s="4"/>
      <c r="B314" s="21"/>
      <c r="C314" s="4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22.5" customHeight="1">
      <c r="A315" s="4"/>
      <c r="B315" s="21"/>
      <c r="C315" s="4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22.5" customHeight="1">
      <c r="A316" s="4"/>
      <c r="B316" s="21"/>
      <c r="C316" s="4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22.5" customHeight="1">
      <c r="A317" s="4"/>
      <c r="B317" s="21"/>
      <c r="C317" s="4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22.5" customHeight="1">
      <c r="A318" s="4"/>
      <c r="B318" s="21"/>
      <c r="C318" s="4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22.5" customHeight="1">
      <c r="A319" s="4"/>
      <c r="B319" s="21"/>
      <c r="C319" s="4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22.5" customHeight="1">
      <c r="A320" s="4"/>
      <c r="B320" s="21"/>
      <c r="C320" s="4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22.5" customHeight="1">
      <c r="A321" s="4"/>
      <c r="B321" s="21"/>
      <c r="C321" s="4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22.5" customHeight="1">
      <c r="A322" s="4"/>
      <c r="B322" s="21"/>
      <c r="C322" s="4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22.5" customHeight="1">
      <c r="A323" s="4"/>
      <c r="B323" s="21"/>
      <c r="C323" s="4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22.5" customHeight="1">
      <c r="A324" s="4"/>
      <c r="B324" s="21"/>
      <c r="C324" s="4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22.5" customHeight="1">
      <c r="A325" s="4"/>
      <c r="B325" s="21"/>
      <c r="C325" s="4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22.5" customHeight="1">
      <c r="A326" s="4"/>
      <c r="B326" s="21"/>
      <c r="C326" s="4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22.5" customHeight="1">
      <c r="A327" s="4"/>
      <c r="B327" s="21"/>
      <c r="C327" s="4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22.5" customHeight="1">
      <c r="A328" s="4"/>
      <c r="B328" s="21"/>
      <c r="C328" s="4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22.5" customHeight="1">
      <c r="A329" s="4"/>
      <c r="B329" s="21"/>
      <c r="C329" s="4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22.5" customHeight="1">
      <c r="A330" s="4"/>
      <c r="B330" s="21"/>
      <c r="C330" s="4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22.5" customHeight="1">
      <c r="A331" s="4"/>
      <c r="B331" s="21"/>
      <c r="C331" s="4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22.5" customHeight="1">
      <c r="A332" s="4"/>
      <c r="B332" s="21"/>
      <c r="C332" s="4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22.5" customHeight="1">
      <c r="A333" s="4"/>
      <c r="B333" s="21"/>
      <c r="C333" s="4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22.5" customHeight="1">
      <c r="A334" s="4"/>
      <c r="B334" s="21"/>
      <c r="C334" s="4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22.5" customHeight="1">
      <c r="A335" s="4"/>
      <c r="B335" s="21"/>
      <c r="C335" s="4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22.5" customHeight="1">
      <c r="A336" s="4"/>
      <c r="B336" s="21"/>
      <c r="C336" s="4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22.5" customHeight="1">
      <c r="A337" s="4"/>
      <c r="B337" s="21"/>
      <c r="C337" s="4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22.5" customHeight="1">
      <c r="A338" s="4"/>
      <c r="B338" s="21"/>
      <c r="C338" s="4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22.5" customHeight="1">
      <c r="A339" s="4"/>
      <c r="B339" s="21"/>
      <c r="C339" s="4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22.5" customHeight="1">
      <c r="A340" s="4"/>
      <c r="B340" s="21"/>
      <c r="C340" s="4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22.5" customHeight="1">
      <c r="A341" s="4"/>
      <c r="B341" s="21"/>
      <c r="C341" s="4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22.5" customHeight="1">
      <c r="A342" s="4"/>
      <c r="B342" s="21"/>
      <c r="C342" s="4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22.5" customHeight="1">
      <c r="A343" s="4"/>
      <c r="B343" s="21"/>
      <c r="C343" s="4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22.5" customHeight="1">
      <c r="A344" s="4"/>
      <c r="B344" s="21"/>
      <c r="C344" s="4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22.5" customHeight="1">
      <c r="A345" s="4"/>
      <c r="B345" s="21"/>
      <c r="C345" s="4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22.5" customHeight="1">
      <c r="A346" s="4"/>
      <c r="B346" s="21"/>
      <c r="C346" s="4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22.5" customHeight="1">
      <c r="A347" s="4"/>
      <c r="B347" s="21"/>
      <c r="C347" s="4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22.5" customHeight="1">
      <c r="A348" s="4"/>
      <c r="B348" s="21"/>
      <c r="C348" s="4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22.5" customHeight="1">
      <c r="A349" s="4"/>
      <c r="B349" s="21"/>
      <c r="C349" s="4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22.5" customHeight="1">
      <c r="A350" s="4"/>
      <c r="B350" s="21"/>
      <c r="C350" s="4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22.5" customHeight="1">
      <c r="A351" s="4"/>
      <c r="B351" s="21"/>
      <c r="C351" s="4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22.5" customHeight="1">
      <c r="A352" s="4"/>
      <c r="B352" s="21"/>
      <c r="C352" s="4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22.5" customHeight="1">
      <c r="A353" s="4"/>
      <c r="B353" s="21"/>
      <c r="C353" s="4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22.5" customHeight="1">
      <c r="A354" s="4"/>
      <c r="B354" s="21"/>
      <c r="C354" s="4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22.5" customHeight="1">
      <c r="A355" s="4"/>
      <c r="B355" s="21"/>
      <c r="C355" s="4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22.5" customHeight="1">
      <c r="A356" s="4"/>
      <c r="B356" s="21"/>
      <c r="C356" s="4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22.5" customHeight="1">
      <c r="A357" s="4"/>
      <c r="B357" s="21"/>
      <c r="C357" s="4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22.5" customHeight="1">
      <c r="A358" s="4"/>
      <c r="B358" s="21"/>
      <c r="C358" s="4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22.5" customHeight="1">
      <c r="A359" s="4"/>
      <c r="B359" s="21"/>
      <c r="C359" s="4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22.5" customHeight="1">
      <c r="A360" s="4"/>
      <c r="B360" s="21"/>
      <c r="C360" s="4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22.5" customHeight="1">
      <c r="A361" s="4"/>
      <c r="B361" s="21"/>
      <c r="C361" s="4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22.5" customHeight="1">
      <c r="A362" s="4"/>
      <c r="B362" s="21"/>
      <c r="C362" s="4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22.5" customHeight="1">
      <c r="A363" s="4"/>
      <c r="B363" s="21"/>
      <c r="C363" s="4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22.5" customHeight="1">
      <c r="A364" s="4"/>
      <c r="B364" s="21"/>
      <c r="C364" s="4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22.5" customHeight="1">
      <c r="A365" s="4"/>
      <c r="B365" s="21"/>
      <c r="C365" s="4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22.5" customHeight="1">
      <c r="A366" s="4"/>
      <c r="B366" s="21"/>
      <c r="C366" s="4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22.5" customHeight="1">
      <c r="A367" s="4"/>
      <c r="B367" s="21"/>
      <c r="C367" s="4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22.5" customHeight="1">
      <c r="A368" s="4"/>
      <c r="B368" s="21"/>
      <c r="C368" s="4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22.5" customHeight="1">
      <c r="A369" s="4"/>
      <c r="B369" s="21"/>
      <c r="C369" s="4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22.5" customHeight="1">
      <c r="A370" s="4"/>
      <c r="B370" s="21"/>
      <c r="C370" s="4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22.5" customHeight="1">
      <c r="A371" s="4"/>
      <c r="B371" s="21"/>
      <c r="C371" s="4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22.5" customHeight="1">
      <c r="A372" s="4"/>
      <c r="B372" s="21"/>
      <c r="C372" s="4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22.5" customHeight="1">
      <c r="A373" s="4"/>
      <c r="B373" s="21"/>
      <c r="C373" s="4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22.5" customHeight="1">
      <c r="A374" s="4"/>
      <c r="B374" s="21"/>
      <c r="C374" s="4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22.5" customHeight="1">
      <c r="A375" s="4"/>
      <c r="B375" s="21"/>
      <c r="C375" s="4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22.5" customHeight="1">
      <c r="A376" s="4"/>
      <c r="B376" s="21"/>
      <c r="C376" s="4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22.5" customHeight="1">
      <c r="A377" s="4"/>
      <c r="B377" s="21"/>
      <c r="C377" s="4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22.5" customHeight="1">
      <c r="A378" s="4"/>
      <c r="B378" s="21"/>
      <c r="C378" s="4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22.5" customHeight="1">
      <c r="A379" s="4"/>
      <c r="B379" s="21"/>
      <c r="C379" s="4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22.5" customHeight="1">
      <c r="A380" s="4"/>
      <c r="B380" s="21"/>
      <c r="C380" s="4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22.5" customHeight="1">
      <c r="A381" s="4"/>
      <c r="B381" s="21"/>
      <c r="C381" s="4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22.5" customHeight="1">
      <c r="A382" s="4"/>
      <c r="B382" s="21"/>
      <c r="C382" s="4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22.5" customHeight="1">
      <c r="A383" s="4"/>
      <c r="B383" s="21"/>
      <c r="C383" s="4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22.5" customHeight="1">
      <c r="A384" s="4"/>
      <c r="B384" s="21"/>
      <c r="C384" s="4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22.5" customHeight="1">
      <c r="A385" s="4"/>
      <c r="B385" s="21"/>
      <c r="C385" s="4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22.5" customHeight="1">
      <c r="A386" s="4"/>
      <c r="B386" s="21"/>
      <c r="C386" s="4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22.5" customHeight="1">
      <c r="A387" s="4"/>
      <c r="B387" s="21"/>
      <c r="C387" s="4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22.5" customHeight="1">
      <c r="A388" s="4"/>
      <c r="B388" s="21"/>
      <c r="C388" s="4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22.5" customHeight="1">
      <c r="A389" s="4"/>
      <c r="B389" s="21"/>
      <c r="C389" s="4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22.5" customHeight="1">
      <c r="A390" s="4"/>
      <c r="B390" s="21"/>
      <c r="C390" s="4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22.5" customHeight="1">
      <c r="A391" s="4"/>
      <c r="B391" s="21"/>
      <c r="C391" s="4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22.5" customHeight="1">
      <c r="A392" s="4"/>
      <c r="B392" s="21"/>
      <c r="C392" s="4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22.5" customHeight="1">
      <c r="A393" s="4"/>
      <c r="B393" s="21"/>
      <c r="C393" s="4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22.5" customHeight="1">
      <c r="A394" s="4"/>
      <c r="B394" s="21"/>
      <c r="C394" s="4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22.5" customHeight="1">
      <c r="A395" s="4"/>
      <c r="B395" s="21"/>
      <c r="C395" s="4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22.5" customHeight="1">
      <c r="A396" s="4"/>
      <c r="B396" s="21"/>
      <c r="C396" s="4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22.5" customHeight="1">
      <c r="A397" s="4"/>
      <c r="B397" s="21"/>
      <c r="C397" s="4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22.5" customHeight="1">
      <c r="A398" s="4"/>
      <c r="B398" s="21"/>
      <c r="C398" s="4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22.5" customHeight="1">
      <c r="A399" s="4"/>
      <c r="B399" s="21"/>
      <c r="C399" s="4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22.5" customHeight="1">
      <c r="A400" s="4"/>
      <c r="B400" s="21"/>
      <c r="C400" s="4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22.5" customHeight="1">
      <c r="A401" s="4"/>
      <c r="B401" s="21"/>
      <c r="C401" s="4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22.5" customHeight="1">
      <c r="A402" s="4"/>
      <c r="B402" s="21"/>
      <c r="C402" s="4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22.5" customHeight="1">
      <c r="A403" s="4"/>
      <c r="B403" s="21"/>
      <c r="C403" s="4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22.5" customHeight="1">
      <c r="A404" s="4"/>
      <c r="B404" s="21"/>
      <c r="C404" s="4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22.5" customHeight="1">
      <c r="A405" s="4"/>
      <c r="B405" s="21"/>
      <c r="C405" s="4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22.5" customHeight="1">
      <c r="A406" s="4"/>
      <c r="B406" s="21"/>
      <c r="C406" s="4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22.5" customHeight="1">
      <c r="A407" s="4"/>
      <c r="B407" s="21"/>
      <c r="C407" s="4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22.5" customHeight="1">
      <c r="A408" s="4"/>
      <c r="B408" s="21"/>
      <c r="C408" s="4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22.5" customHeight="1">
      <c r="A409" s="4"/>
      <c r="B409" s="21"/>
      <c r="C409" s="4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22.5" customHeight="1">
      <c r="A410" s="4"/>
      <c r="B410" s="21"/>
      <c r="C410" s="4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22.5" customHeight="1">
      <c r="A411" s="4"/>
      <c r="B411" s="21"/>
      <c r="C411" s="4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22.5" customHeight="1">
      <c r="A412" s="4"/>
      <c r="B412" s="21"/>
      <c r="C412" s="4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22.5" customHeight="1">
      <c r="A413" s="4"/>
      <c r="B413" s="21"/>
      <c r="C413" s="4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22.5" customHeight="1">
      <c r="A414" s="4"/>
      <c r="B414" s="21"/>
      <c r="C414" s="4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22.5" customHeight="1">
      <c r="A415" s="4"/>
      <c r="B415" s="21"/>
      <c r="C415" s="4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22.5" customHeight="1">
      <c r="A416" s="4"/>
      <c r="B416" s="21"/>
      <c r="C416" s="4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22.5" customHeight="1">
      <c r="A417" s="4"/>
      <c r="B417" s="21"/>
      <c r="C417" s="4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22.5" customHeight="1">
      <c r="A418" s="4"/>
      <c r="B418" s="21"/>
      <c r="C418" s="4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22.5" customHeight="1">
      <c r="A419" s="4"/>
      <c r="B419" s="21"/>
      <c r="C419" s="4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22.5" customHeight="1">
      <c r="A420" s="4"/>
      <c r="B420" s="21"/>
      <c r="C420" s="4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22.5" customHeight="1">
      <c r="A421" s="4"/>
      <c r="B421" s="21"/>
      <c r="C421" s="4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22.5" customHeight="1">
      <c r="A422" s="4"/>
      <c r="B422" s="21"/>
      <c r="C422" s="4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22.5" customHeight="1">
      <c r="A423" s="4"/>
      <c r="B423" s="21"/>
      <c r="C423" s="4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22.5" customHeight="1">
      <c r="A424" s="4"/>
      <c r="B424" s="21"/>
      <c r="C424" s="4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22.5" customHeight="1">
      <c r="A425" s="4"/>
      <c r="B425" s="21"/>
      <c r="C425" s="4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22.5" customHeight="1">
      <c r="A426" s="4"/>
      <c r="B426" s="21"/>
      <c r="C426" s="4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22.5" customHeight="1">
      <c r="A427" s="4"/>
      <c r="B427" s="21"/>
      <c r="C427" s="4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22.5" customHeight="1">
      <c r="A428" s="4"/>
      <c r="B428" s="21"/>
      <c r="C428" s="4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22.5" customHeight="1">
      <c r="A429" s="4"/>
      <c r="B429" s="21"/>
      <c r="C429" s="4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22.5" customHeight="1">
      <c r="A430" s="4"/>
      <c r="B430" s="21"/>
      <c r="C430" s="4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22.5" customHeight="1">
      <c r="A431" s="4"/>
      <c r="B431" s="21"/>
      <c r="C431" s="4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22.5" customHeight="1">
      <c r="A432" s="4"/>
      <c r="B432" s="21"/>
      <c r="C432" s="4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22.5" customHeight="1">
      <c r="A433" s="4"/>
      <c r="B433" s="21"/>
      <c r="C433" s="4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22.5" customHeight="1">
      <c r="A434" s="4"/>
      <c r="B434" s="21"/>
      <c r="C434" s="4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22.5" customHeight="1">
      <c r="A435" s="4"/>
      <c r="B435" s="21"/>
      <c r="C435" s="4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22.5" customHeight="1">
      <c r="A436" s="4"/>
      <c r="B436" s="21"/>
      <c r="C436" s="4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22.5" customHeight="1">
      <c r="A437" s="4"/>
      <c r="B437" s="21"/>
      <c r="C437" s="4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22.5" customHeight="1">
      <c r="A438" s="4"/>
      <c r="B438" s="21"/>
      <c r="C438" s="4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22.5" customHeight="1">
      <c r="A439" s="4"/>
      <c r="B439" s="21"/>
      <c r="C439" s="4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22.5" customHeight="1">
      <c r="A440" s="4"/>
      <c r="B440" s="21"/>
      <c r="C440" s="4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22.5" customHeight="1">
      <c r="A441" s="4"/>
      <c r="B441" s="21"/>
      <c r="C441" s="4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22.5" customHeight="1">
      <c r="A442" s="4"/>
      <c r="B442" s="21"/>
      <c r="C442" s="4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22.5" customHeight="1">
      <c r="A443" s="4"/>
      <c r="B443" s="21"/>
      <c r="C443" s="4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22.5" customHeight="1">
      <c r="A444" s="4"/>
      <c r="B444" s="21"/>
      <c r="C444" s="4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22.5" customHeight="1">
      <c r="A445" s="4"/>
      <c r="B445" s="21"/>
      <c r="C445" s="4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22.5" customHeight="1">
      <c r="A446" s="4"/>
      <c r="B446" s="21"/>
      <c r="C446" s="4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22.5" customHeight="1">
      <c r="A447" s="4"/>
      <c r="B447" s="21"/>
      <c r="C447" s="4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22.5" customHeight="1">
      <c r="A448" s="4"/>
      <c r="B448" s="21"/>
      <c r="C448" s="4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22.5" customHeight="1">
      <c r="A449" s="4"/>
      <c r="B449" s="21"/>
      <c r="C449" s="4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22.5" customHeight="1">
      <c r="A450" s="4"/>
      <c r="B450" s="21"/>
      <c r="C450" s="4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22.5" customHeight="1">
      <c r="A451" s="4"/>
      <c r="B451" s="21"/>
      <c r="C451" s="4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22.5" customHeight="1">
      <c r="A452" s="4"/>
      <c r="B452" s="21"/>
      <c r="C452" s="4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22.5" customHeight="1">
      <c r="A453" s="4"/>
      <c r="B453" s="21"/>
      <c r="C453" s="4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22.5" customHeight="1">
      <c r="A454" s="4"/>
      <c r="B454" s="21"/>
      <c r="C454" s="4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22.5" customHeight="1">
      <c r="A455" s="4"/>
      <c r="B455" s="21"/>
      <c r="C455" s="4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22.5" customHeight="1">
      <c r="A456" s="4"/>
      <c r="B456" s="21"/>
      <c r="C456" s="4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22.5" customHeight="1">
      <c r="A457" s="4"/>
      <c r="B457" s="21"/>
      <c r="C457" s="4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22.5" customHeight="1">
      <c r="A458" s="4"/>
      <c r="B458" s="21"/>
      <c r="C458" s="4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22.5" customHeight="1">
      <c r="A459" s="4"/>
      <c r="B459" s="21"/>
      <c r="C459" s="4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22.5" customHeight="1">
      <c r="A460" s="4"/>
      <c r="B460" s="21"/>
      <c r="C460" s="4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22.5" customHeight="1">
      <c r="A461" s="4"/>
      <c r="B461" s="21"/>
      <c r="C461" s="4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22.5" customHeight="1">
      <c r="A462" s="4"/>
      <c r="B462" s="21"/>
      <c r="C462" s="4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22.5" customHeight="1">
      <c r="A463" s="4"/>
      <c r="B463" s="21"/>
      <c r="C463" s="4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22.5" customHeight="1">
      <c r="A464" s="4"/>
      <c r="B464" s="21"/>
      <c r="C464" s="4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22.5" customHeight="1">
      <c r="A465" s="4"/>
      <c r="B465" s="21"/>
      <c r="C465" s="4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22.5" customHeight="1">
      <c r="A466" s="4"/>
      <c r="B466" s="21"/>
      <c r="C466" s="4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22.5" customHeight="1">
      <c r="A467" s="4"/>
      <c r="B467" s="21"/>
      <c r="C467" s="4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22.5" customHeight="1">
      <c r="A468" s="4"/>
      <c r="B468" s="21"/>
      <c r="C468" s="4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22.5" customHeight="1">
      <c r="A469" s="4"/>
      <c r="B469" s="21"/>
      <c r="C469" s="4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22.5" customHeight="1">
      <c r="A470" s="4"/>
      <c r="B470" s="21"/>
      <c r="C470" s="4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22.5" customHeight="1">
      <c r="A471" s="4"/>
      <c r="B471" s="21"/>
      <c r="C471" s="4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22.5" customHeight="1">
      <c r="A472" s="4"/>
      <c r="B472" s="21"/>
      <c r="C472" s="4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22.5" customHeight="1">
      <c r="A473" s="4"/>
      <c r="B473" s="21"/>
      <c r="C473" s="4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22.5" customHeight="1">
      <c r="A474" s="4"/>
      <c r="B474" s="21"/>
      <c r="C474" s="4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22.5" customHeight="1">
      <c r="A475" s="4"/>
      <c r="B475" s="21"/>
      <c r="C475" s="4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22.5" customHeight="1">
      <c r="A476" s="4"/>
      <c r="B476" s="21"/>
      <c r="C476" s="4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22.5" customHeight="1">
      <c r="A477" s="4"/>
      <c r="B477" s="21"/>
      <c r="C477" s="4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22.5" customHeight="1">
      <c r="A478" s="4"/>
      <c r="B478" s="21"/>
      <c r="C478" s="4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22.5" customHeight="1">
      <c r="A479" s="4"/>
      <c r="B479" s="21"/>
      <c r="C479" s="4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22.5" customHeight="1">
      <c r="A480" s="4"/>
      <c r="B480" s="21"/>
      <c r="C480" s="4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22.5" customHeight="1">
      <c r="A481" s="4"/>
      <c r="B481" s="21"/>
      <c r="C481" s="4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22.5" customHeight="1">
      <c r="A482" s="4"/>
      <c r="B482" s="21"/>
      <c r="C482" s="4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22.5" customHeight="1">
      <c r="A483" s="4"/>
      <c r="B483" s="21"/>
      <c r="C483" s="4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22.5" customHeight="1">
      <c r="A484" s="4"/>
      <c r="B484" s="21"/>
      <c r="C484" s="4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22.5" customHeight="1">
      <c r="A485" s="4"/>
      <c r="B485" s="21"/>
      <c r="C485" s="4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22.5" customHeight="1">
      <c r="A486" s="4"/>
      <c r="B486" s="21"/>
      <c r="C486" s="4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22.5" customHeight="1">
      <c r="A487" s="4"/>
      <c r="B487" s="21"/>
      <c r="C487" s="4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22.5" customHeight="1">
      <c r="A488" s="4"/>
      <c r="B488" s="21"/>
      <c r="C488" s="4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22.5" customHeight="1">
      <c r="A489" s="4"/>
      <c r="B489" s="21"/>
      <c r="C489" s="4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22.5" customHeight="1">
      <c r="A490" s="4"/>
      <c r="B490" s="21"/>
      <c r="C490" s="4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22.5" customHeight="1">
      <c r="A491" s="4"/>
      <c r="B491" s="21"/>
      <c r="C491" s="4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22.5" customHeight="1">
      <c r="A492" s="4"/>
      <c r="B492" s="21"/>
      <c r="C492" s="4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22.5" customHeight="1">
      <c r="A493" s="4"/>
      <c r="B493" s="21"/>
      <c r="C493" s="4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22.5" customHeight="1">
      <c r="A494" s="4"/>
      <c r="B494" s="21"/>
      <c r="C494" s="4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22.5" customHeight="1">
      <c r="A495" s="4"/>
      <c r="B495" s="21"/>
      <c r="C495" s="4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22.5" customHeight="1">
      <c r="A496" s="4"/>
      <c r="B496" s="21"/>
      <c r="C496" s="4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22.5" customHeight="1">
      <c r="A497" s="4"/>
      <c r="B497" s="21"/>
      <c r="C497" s="4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22.5" customHeight="1">
      <c r="A498" s="4"/>
      <c r="B498" s="21"/>
      <c r="C498" s="4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22.5" customHeight="1">
      <c r="A499" s="4"/>
      <c r="B499" s="21"/>
      <c r="C499" s="4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22.5" customHeight="1">
      <c r="A500" s="4"/>
      <c r="B500" s="21"/>
      <c r="C500" s="4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22.5" customHeight="1">
      <c r="A501" s="4"/>
      <c r="B501" s="21"/>
      <c r="C501" s="4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22.5" customHeight="1">
      <c r="A502" s="4"/>
      <c r="B502" s="21"/>
      <c r="C502" s="4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22.5" customHeight="1">
      <c r="A503" s="4"/>
      <c r="B503" s="21"/>
      <c r="C503" s="4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22.5" customHeight="1">
      <c r="A504" s="4"/>
      <c r="B504" s="21"/>
      <c r="C504" s="4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22.5" customHeight="1">
      <c r="A505" s="4"/>
      <c r="B505" s="21"/>
      <c r="C505" s="4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22.5" customHeight="1">
      <c r="A506" s="4"/>
      <c r="B506" s="21"/>
      <c r="C506" s="4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22.5" customHeight="1">
      <c r="A507" s="4"/>
      <c r="B507" s="21"/>
      <c r="C507" s="4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22.5" customHeight="1">
      <c r="A508" s="4"/>
      <c r="B508" s="21"/>
      <c r="C508" s="4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22.5" customHeight="1">
      <c r="A509" s="4"/>
      <c r="B509" s="21"/>
      <c r="C509" s="4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22.5" customHeight="1">
      <c r="A510" s="4"/>
      <c r="B510" s="21"/>
      <c r="C510" s="4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22.5" customHeight="1">
      <c r="A511" s="4"/>
      <c r="B511" s="21"/>
      <c r="C511" s="4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22.5" customHeight="1">
      <c r="A512" s="4"/>
      <c r="B512" s="21"/>
      <c r="C512" s="4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22.5" customHeight="1">
      <c r="A513" s="4"/>
      <c r="B513" s="21"/>
      <c r="C513" s="4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22.5" customHeight="1">
      <c r="A514" s="4"/>
      <c r="B514" s="21"/>
      <c r="C514" s="4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22.5" customHeight="1">
      <c r="A515" s="4"/>
      <c r="B515" s="21"/>
      <c r="C515" s="4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22.5" customHeight="1">
      <c r="A516" s="4"/>
      <c r="B516" s="21"/>
      <c r="C516" s="4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22.5" customHeight="1">
      <c r="A517" s="4"/>
      <c r="B517" s="21"/>
      <c r="C517" s="4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22.5" customHeight="1">
      <c r="A518" s="4"/>
      <c r="B518" s="21"/>
      <c r="C518" s="4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22.5" customHeight="1">
      <c r="A519" s="4"/>
      <c r="B519" s="21"/>
      <c r="C519" s="4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22.5" customHeight="1">
      <c r="A520" s="4"/>
      <c r="B520" s="21"/>
      <c r="C520" s="4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22.5" customHeight="1">
      <c r="A521" s="4"/>
      <c r="B521" s="21"/>
      <c r="C521" s="4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22.5" customHeight="1">
      <c r="A522" s="4"/>
      <c r="B522" s="21"/>
      <c r="C522" s="4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22.5" customHeight="1">
      <c r="A523" s="4"/>
      <c r="B523" s="21"/>
      <c r="C523" s="4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22.5" customHeight="1">
      <c r="A524" s="4"/>
      <c r="B524" s="21"/>
      <c r="C524" s="4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22.5" customHeight="1">
      <c r="A525" s="4"/>
      <c r="B525" s="21"/>
      <c r="C525" s="4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22.5" customHeight="1">
      <c r="A526" s="4"/>
      <c r="B526" s="21"/>
      <c r="C526" s="4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22.5" customHeight="1">
      <c r="A527" s="4"/>
      <c r="B527" s="21"/>
      <c r="C527" s="4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22.5" customHeight="1">
      <c r="A528" s="4"/>
      <c r="B528" s="21"/>
      <c r="C528" s="4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22.5" customHeight="1">
      <c r="A529" s="4"/>
      <c r="B529" s="21"/>
      <c r="C529" s="4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22.5" customHeight="1">
      <c r="A530" s="4"/>
      <c r="B530" s="21"/>
      <c r="C530" s="4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22.5" customHeight="1">
      <c r="A531" s="4"/>
      <c r="B531" s="21"/>
      <c r="C531" s="4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22.5" customHeight="1">
      <c r="A532" s="4"/>
      <c r="B532" s="21"/>
      <c r="C532" s="4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22.5" customHeight="1">
      <c r="A533" s="4"/>
      <c r="B533" s="21"/>
      <c r="C533" s="4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22.5" customHeight="1">
      <c r="A534" s="4"/>
      <c r="B534" s="21"/>
      <c r="C534" s="4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22.5" customHeight="1">
      <c r="A535" s="4"/>
      <c r="B535" s="21"/>
      <c r="C535" s="4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22.5" customHeight="1">
      <c r="A536" s="4"/>
      <c r="B536" s="21"/>
      <c r="C536" s="4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22.5" customHeight="1">
      <c r="A537" s="4"/>
      <c r="B537" s="21"/>
      <c r="C537" s="4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22.5" customHeight="1">
      <c r="A538" s="4"/>
      <c r="B538" s="21"/>
      <c r="C538" s="4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22.5" customHeight="1">
      <c r="A539" s="4"/>
      <c r="B539" s="21"/>
      <c r="C539" s="4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22.5" customHeight="1">
      <c r="A540" s="4"/>
      <c r="B540" s="21"/>
      <c r="C540" s="4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22.5" customHeight="1">
      <c r="A541" s="4"/>
      <c r="B541" s="21"/>
      <c r="C541" s="4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22.5" customHeight="1">
      <c r="A542" s="4"/>
      <c r="B542" s="21"/>
      <c r="C542" s="4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22.5" customHeight="1">
      <c r="A543" s="4"/>
      <c r="B543" s="21"/>
      <c r="C543" s="4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22.5" customHeight="1">
      <c r="A544" s="4"/>
      <c r="B544" s="21"/>
      <c r="C544" s="4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22.5" customHeight="1">
      <c r="A545" s="4"/>
      <c r="B545" s="21"/>
      <c r="C545" s="4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22.5" customHeight="1">
      <c r="A546" s="4"/>
      <c r="B546" s="21"/>
      <c r="C546" s="4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22.5" customHeight="1">
      <c r="A547" s="4"/>
      <c r="B547" s="21"/>
      <c r="C547" s="4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22.5" customHeight="1">
      <c r="A548" s="4"/>
      <c r="B548" s="21"/>
      <c r="C548" s="4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22.5" customHeight="1">
      <c r="A549" s="4"/>
      <c r="B549" s="21"/>
      <c r="C549" s="4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22.5" customHeight="1">
      <c r="A550" s="4"/>
      <c r="B550" s="21"/>
      <c r="C550" s="4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22.5" customHeight="1">
      <c r="A551" s="4"/>
      <c r="B551" s="21"/>
      <c r="C551" s="4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22.5" customHeight="1">
      <c r="A552" s="4"/>
      <c r="B552" s="21"/>
      <c r="C552" s="4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22.5" customHeight="1">
      <c r="A553" s="4"/>
      <c r="B553" s="21"/>
      <c r="C553" s="4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22.5" customHeight="1">
      <c r="A554" s="4"/>
      <c r="B554" s="21"/>
      <c r="C554" s="4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22.5" customHeight="1">
      <c r="A555" s="4"/>
      <c r="B555" s="21"/>
      <c r="C555" s="4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22.5" customHeight="1">
      <c r="A556" s="4"/>
      <c r="B556" s="21"/>
      <c r="C556" s="4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22.5" customHeight="1">
      <c r="A557" s="4"/>
      <c r="B557" s="21"/>
      <c r="C557" s="4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22.5" customHeight="1">
      <c r="A558" s="4"/>
      <c r="B558" s="21"/>
      <c r="C558" s="4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22.5" customHeight="1">
      <c r="A559" s="4"/>
      <c r="B559" s="21"/>
      <c r="C559" s="4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22.5" customHeight="1">
      <c r="A560" s="4"/>
      <c r="B560" s="21"/>
      <c r="C560" s="4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22.5" customHeight="1">
      <c r="A561" s="4"/>
      <c r="B561" s="21"/>
      <c r="C561" s="4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22.5" customHeight="1">
      <c r="A562" s="4"/>
      <c r="B562" s="21"/>
      <c r="C562" s="4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22.5" customHeight="1">
      <c r="A563" s="4"/>
      <c r="B563" s="21"/>
      <c r="C563" s="4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22.5" customHeight="1">
      <c r="A564" s="4"/>
      <c r="B564" s="21"/>
      <c r="C564" s="4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22.5" customHeight="1">
      <c r="A565" s="4"/>
      <c r="B565" s="21"/>
      <c r="C565" s="4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22.5" customHeight="1">
      <c r="A566" s="4"/>
      <c r="B566" s="21"/>
      <c r="C566" s="4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22.5" customHeight="1">
      <c r="A567" s="4"/>
      <c r="B567" s="21"/>
      <c r="C567" s="4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22.5" customHeight="1">
      <c r="A568" s="4"/>
      <c r="B568" s="21"/>
      <c r="C568" s="4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22.5" customHeight="1">
      <c r="A569" s="4"/>
      <c r="B569" s="21"/>
      <c r="C569" s="4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22.5" customHeight="1">
      <c r="A570" s="4"/>
      <c r="B570" s="21"/>
      <c r="C570" s="4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22.5" customHeight="1">
      <c r="A571" s="4"/>
      <c r="B571" s="21"/>
      <c r="C571" s="4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22.5" customHeight="1">
      <c r="A572" s="4"/>
      <c r="B572" s="21"/>
      <c r="C572" s="4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22.5" customHeight="1">
      <c r="A573" s="4"/>
      <c r="B573" s="21"/>
      <c r="C573" s="4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22.5" customHeight="1">
      <c r="A574" s="4"/>
      <c r="B574" s="21"/>
      <c r="C574" s="4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22.5" customHeight="1">
      <c r="A575" s="4"/>
      <c r="B575" s="21"/>
      <c r="C575" s="4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22.5" customHeight="1">
      <c r="A576" s="4"/>
      <c r="B576" s="21"/>
      <c r="C576" s="4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22.5" customHeight="1">
      <c r="A577" s="4"/>
      <c r="B577" s="21"/>
      <c r="C577" s="4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22.5" customHeight="1">
      <c r="A578" s="4"/>
      <c r="B578" s="21"/>
      <c r="C578" s="4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22.5" customHeight="1">
      <c r="A579" s="4"/>
      <c r="B579" s="21"/>
      <c r="C579" s="4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22.5" customHeight="1">
      <c r="A580" s="4"/>
      <c r="B580" s="21"/>
      <c r="C580" s="4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22.5" customHeight="1">
      <c r="A581" s="4"/>
      <c r="B581" s="21"/>
      <c r="C581" s="4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22.5" customHeight="1">
      <c r="A582" s="4"/>
      <c r="B582" s="21"/>
      <c r="C582" s="4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22.5" customHeight="1">
      <c r="A583" s="4"/>
      <c r="B583" s="21"/>
      <c r="C583" s="4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22.5" customHeight="1">
      <c r="A584" s="4"/>
      <c r="B584" s="21"/>
      <c r="C584" s="4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22.5" customHeight="1">
      <c r="A585" s="4"/>
      <c r="B585" s="21"/>
      <c r="C585" s="4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22.5" customHeight="1">
      <c r="A586" s="4"/>
      <c r="B586" s="21"/>
      <c r="C586" s="4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22.5" customHeight="1">
      <c r="A587" s="4"/>
      <c r="B587" s="21"/>
      <c r="C587" s="4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22.5" customHeight="1">
      <c r="A588" s="4"/>
      <c r="B588" s="21"/>
      <c r="C588" s="4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22.5" customHeight="1">
      <c r="A589" s="4"/>
      <c r="B589" s="21"/>
      <c r="C589" s="4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22.5" customHeight="1">
      <c r="A590" s="4"/>
      <c r="B590" s="21"/>
      <c r="C590" s="4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22.5" customHeight="1">
      <c r="A591" s="4"/>
      <c r="B591" s="21"/>
      <c r="C591" s="4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22.5" customHeight="1">
      <c r="A592" s="4"/>
      <c r="B592" s="21"/>
      <c r="C592" s="4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22.5" customHeight="1">
      <c r="A593" s="4"/>
      <c r="B593" s="21"/>
      <c r="C593" s="4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22.5" customHeight="1">
      <c r="A594" s="4"/>
      <c r="B594" s="21"/>
      <c r="C594" s="4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22.5" customHeight="1">
      <c r="A595" s="4"/>
      <c r="B595" s="21"/>
      <c r="C595" s="4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22.5" customHeight="1">
      <c r="A596" s="4"/>
      <c r="B596" s="21"/>
      <c r="C596" s="4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22.5" customHeight="1">
      <c r="A597" s="4"/>
      <c r="B597" s="21"/>
      <c r="C597" s="4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22.5" customHeight="1">
      <c r="A598" s="4"/>
      <c r="B598" s="21"/>
      <c r="C598" s="4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22.5" customHeight="1">
      <c r="A599" s="4"/>
      <c r="B599" s="21"/>
      <c r="C599" s="4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22.5" customHeight="1">
      <c r="A600" s="4"/>
      <c r="B600" s="21"/>
      <c r="C600" s="4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22.5" customHeight="1">
      <c r="A601" s="4"/>
      <c r="B601" s="21"/>
      <c r="C601" s="4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22.5" customHeight="1">
      <c r="A602" s="4"/>
      <c r="B602" s="21"/>
      <c r="C602" s="4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22.5" customHeight="1">
      <c r="A603" s="4"/>
      <c r="B603" s="21"/>
      <c r="C603" s="4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22.5" customHeight="1">
      <c r="A604" s="4"/>
      <c r="B604" s="21"/>
      <c r="C604" s="4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22.5" customHeight="1">
      <c r="A605" s="4"/>
      <c r="B605" s="21"/>
      <c r="C605" s="4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22.5" customHeight="1">
      <c r="A606" s="4"/>
      <c r="B606" s="21"/>
      <c r="C606" s="4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22.5" customHeight="1">
      <c r="A607" s="4"/>
      <c r="B607" s="21"/>
      <c r="C607" s="4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22.5" customHeight="1">
      <c r="A608" s="4"/>
      <c r="B608" s="21"/>
      <c r="C608" s="4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22.5" customHeight="1">
      <c r="A609" s="4"/>
      <c r="B609" s="21"/>
      <c r="C609" s="4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22.5" customHeight="1">
      <c r="A610" s="4"/>
      <c r="B610" s="21"/>
      <c r="C610" s="4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22.5" customHeight="1">
      <c r="A611" s="4"/>
      <c r="B611" s="21"/>
      <c r="C611" s="4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22.5" customHeight="1">
      <c r="A612" s="4"/>
      <c r="B612" s="21"/>
      <c r="C612" s="4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22.5" customHeight="1">
      <c r="A613" s="4"/>
      <c r="B613" s="21"/>
      <c r="C613" s="4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22.5" customHeight="1">
      <c r="A614" s="4"/>
      <c r="B614" s="21"/>
      <c r="C614" s="4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22.5" customHeight="1">
      <c r="A615" s="4"/>
      <c r="B615" s="21"/>
      <c r="C615" s="4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22.5" customHeight="1">
      <c r="A616" s="4"/>
      <c r="B616" s="21"/>
      <c r="C616" s="4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22.5" customHeight="1">
      <c r="A617" s="4"/>
      <c r="B617" s="21"/>
      <c r="C617" s="4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22.5" customHeight="1">
      <c r="A618" s="4"/>
      <c r="B618" s="21"/>
      <c r="C618" s="4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22.5" customHeight="1">
      <c r="A619" s="4"/>
      <c r="B619" s="21"/>
      <c r="C619" s="4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22.5" customHeight="1">
      <c r="A620" s="4"/>
      <c r="B620" s="21"/>
      <c r="C620" s="4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22.5" customHeight="1">
      <c r="A621" s="4"/>
      <c r="B621" s="21"/>
      <c r="C621" s="4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22.5" customHeight="1">
      <c r="A622" s="4"/>
      <c r="B622" s="21"/>
      <c r="C622" s="4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22.5" customHeight="1">
      <c r="A623" s="4"/>
      <c r="B623" s="21"/>
      <c r="C623" s="4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22.5" customHeight="1">
      <c r="A624" s="4"/>
      <c r="B624" s="21"/>
      <c r="C624" s="4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22.5" customHeight="1">
      <c r="A625" s="4"/>
      <c r="B625" s="21"/>
      <c r="C625" s="4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22.5" customHeight="1">
      <c r="A626" s="4"/>
      <c r="B626" s="21"/>
      <c r="C626" s="4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22.5" customHeight="1">
      <c r="A627" s="4"/>
      <c r="B627" s="21"/>
      <c r="C627" s="4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22.5" customHeight="1">
      <c r="A628" s="4"/>
      <c r="B628" s="21"/>
      <c r="C628" s="4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22.5" customHeight="1">
      <c r="A629" s="4"/>
      <c r="B629" s="21"/>
      <c r="C629" s="4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22.5" customHeight="1">
      <c r="A630" s="4"/>
      <c r="B630" s="21"/>
      <c r="C630" s="4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22.5" customHeight="1">
      <c r="A631" s="4"/>
      <c r="B631" s="21"/>
      <c r="C631" s="4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22.5" customHeight="1">
      <c r="A632" s="4"/>
      <c r="B632" s="21"/>
      <c r="C632" s="4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22.5" customHeight="1">
      <c r="A633" s="4"/>
      <c r="B633" s="21"/>
      <c r="C633" s="4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22.5" customHeight="1">
      <c r="A634" s="4"/>
      <c r="B634" s="21"/>
      <c r="C634" s="4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22.5" customHeight="1">
      <c r="A635" s="4"/>
      <c r="B635" s="21"/>
      <c r="C635" s="4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22.5" customHeight="1">
      <c r="A636" s="4"/>
      <c r="B636" s="21"/>
      <c r="C636" s="4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22.5" customHeight="1">
      <c r="A637" s="4"/>
      <c r="B637" s="21"/>
      <c r="C637" s="4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22.5" customHeight="1">
      <c r="A638" s="4"/>
      <c r="B638" s="21"/>
      <c r="C638" s="4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22.5" customHeight="1">
      <c r="A639" s="4"/>
      <c r="B639" s="21"/>
      <c r="C639" s="4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22.5" customHeight="1">
      <c r="A640" s="4"/>
      <c r="B640" s="21"/>
      <c r="C640" s="4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22.5" customHeight="1">
      <c r="A641" s="4"/>
      <c r="B641" s="21"/>
      <c r="C641" s="4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22.5" customHeight="1">
      <c r="A642" s="4"/>
      <c r="B642" s="21"/>
      <c r="C642" s="4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22.5" customHeight="1">
      <c r="A643" s="4"/>
      <c r="B643" s="21"/>
      <c r="C643" s="4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22.5" customHeight="1">
      <c r="A644" s="4"/>
      <c r="B644" s="21"/>
      <c r="C644" s="4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22.5" customHeight="1">
      <c r="A645" s="4"/>
      <c r="B645" s="21"/>
      <c r="C645" s="4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22.5" customHeight="1">
      <c r="A646" s="4"/>
      <c r="B646" s="21"/>
      <c r="C646" s="4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22.5" customHeight="1">
      <c r="A647" s="4"/>
      <c r="B647" s="21"/>
      <c r="C647" s="4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22.5" customHeight="1">
      <c r="A648" s="4"/>
      <c r="B648" s="21"/>
      <c r="C648" s="4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22.5" customHeight="1">
      <c r="A649" s="4"/>
      <c r="B649" s="21"/>
      <c r="C649" s="4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22.5" customHeight="1">
      <c r="A650" s="4"/>
      <c r="B650" s="21"/>
      <c r="C650" s="4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22.5" customHeight="1">
      <c r="A651" s="4"/>
      <c r="B651" s="21"/>
      <c r="C651" s="4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22.5" customHeight="1">
      <c r="A652" s="4"/>
      <c r="B652" s="21"/>
      <c r="C652" s="4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22.5" customHeight="1">
      <c r="A653" s="4"/>
      <c r="B653" s="21"/>
      <c r="C653" s="4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22.5" customHeight="1">
      <c r="A654" s="4"/>
      <c r="B654" s="21"/>
      <c r="C654" s="4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22.5" customHeight="1">
      <c r="A655" s="4"/>
      <c r="B655" s="21"/>
      <c r="C655" s="4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22.5" customHeight="1">
      <c r="A656" s="4"/>
      <c r="B656" s="21"/>
      <c r="C656" s="4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22.5" customHeight="1">
      <c r="A657" s="4"/>
      <c r="B657" s="21"/>
      <c r="C657" s="4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22.5" customHeight="1">
      <c r="A658" s="4"/>
      <c r="B658" s="21"/>
      <c r="C658" s="4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22.5" customHeight="1">
      <c r="A659" s="4"/>
      <c r="B659" s="21"/>
      <c r="C659" s="4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22.5" customHeight="1">
      <c r="A660" s="4"/>
      <c r="B660" s="21"/>
      <c r="C660" s="4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22.5" customHeight="1">
      <c r="A661" s="4"/>
      <c r="B661" s="21"/>
      <c r="C661" s="4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22.5" customHeight="1">
      <c r="A662" s="4"/>
      <c r="B662" s="21"/>
      <c r="C662" s="4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22.5" customHeight="1">
      <c r="A663" s="4"/>
      <c r="B663" s="21"/>
      <c r="C663" s="4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22.5" customHeight="1">
      <c r="A664" s="4"/>
      <c r="B664" s="21"/>
      <c r="C664" s="4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22.5" customHeight="1">
      <c r="A665" s="4"/>
      <c r="B665" s="21"/>
      <c r="C665" s="4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22.5" customHeight="1">
      <c r="A666" s="4"/>
      <c r="B666" s="21"/>
      <c r="C666" s="4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22.5" customHeight="1">
      <c r="A667" s="4"/>
      <c r="B667" s="21"/>
      <c r="C667" s="4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22.5" customHeight="1">
      <c r="A668" s="4"/>
      <c r="B668" s="21"/>
      <c r="C668" s="4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22.5" customHeight="1">
      <c r="A669" s="4"/>
      <c r="B669" s="21"/>
      <c r="C669" s="4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22.5" customHeight="1">
      <c r="A670" s="4"/>
      <c r="B670" s="21"/>
      <c r="C670" s="4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22.5" customHeight="1">
      <c r="A671" s="4"/>
      <c r="B671" s="21"/>
      <c r="C671" s="4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22.5" customHeight="1">
      <c r="A672" s="4"/>
      <c r="B672" s="21"/>
      <c r="C672" s="4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22.5" customHeight="1">
      <c r="A673" s="4"/>
      <c r="B673" s="21"/>
      <c r="C673" s="4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22.5" customHeight="1">
      <c r="A674" s="4"/>
      <c r="B674" s="21"/>
      <c r="C674" s="4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22.5" customHeight="1">
      <c r="A675" s="4"/>
      <c r="B675" s="21"/>
      <c r="C675" s="4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22.5" customHeight="1">
      <c r="A676" s="4"/>
      <c r="B676" s="21"/>
      <c r="C676" s="4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22.5" customHeight="1">
      <c r="A677" s="4"/>
      <c r="B677" s="21"/>
      <c r="C677" s="4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22.5" customHeight="1">
      <c r="A678" s="4"/>
      <c r="B678" s="21"/>
      <c r="C678" s="4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22.5" customHeight="1">
      <c r="A679" s="4"/>
      <c r="B679" s="21"/>
      <c r="C679" s="4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22.5" customHeight="1">
      <c r="A680" s="4"/>
      <c r="B680" s="21"/>
      <c r="C680" s="4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22.5" customHeight="1">
      <c r="A681" s="4"/>
      <c r="B681" s="21"/>
      <c r="C681" s="4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22.5" customHeight="1">
      <c r="A682" s="4"/>
      <c r="B682" s="21"/>
      <c r="C682" s="4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22.5" customHeight="1">
      <c r="A683" s="4"/>
      <c r="B683" s="21"/>
      <c r="C683" s="4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22.5" customHeight="1">
      <c r="A684" s="4"/>
      <c r="B684" s="21"/>
      <c r="C684" s="4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22.5" customHeight="1">
      <c r="A685" s="4"/>
      <c r="B685" s="21"/>
      <c r="C685" s="4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22.5" customHeight="1">
      <c r="A686" s="4"/>
      <c r="B686" s="21"/>
      <c r="C686" s="4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22.5" customHeight="1">
      <c r="A687" s="4"/>
      <c r="B687" s="21"/>
      <c r="C687" s="4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22.5" customHeight="1">
      <c r="A688" s="4"/>
      <c r="B688" s="21"/>
      <c r="C688" s="4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22.5" customHeight="1">
      <c r="A689" s="4"/>
      <c r="B689" s="21"/>
      <c r="C689" s="4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22.5" customHeight="1">
      <c r="A690" s="4"/>
      <c r="B690" s="21"/>
      <c r="C690" s="4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22.5" customHeight="1">
      <c r="A691" s="4"/>
      <c r="B691" s="21"/>
      <c r="C691" s="4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22.5" customHeight="1">
      <c r="A692" s="4"/>
      <c r="B692" s="21"/>
      <c r="C692" s="4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22.5" customHeight="1">
      <c r="A693" s="4"/>
      <c r="B693" s="21"/>
      <c r="C693" s="4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22.5" customHeight="1">
      <c r="A694" s="4"/>
      <c r="B694" s="21"/>
      <c r="C694" s="4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22.5" customHeight="1">
      <c r="A695" s="4"/>
      <c r="B695" s="21"/>
      <c r="C695" s="4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22.5" customHeight="1">
      <c r="A696" s="4"/>
      <c r="B696" s="21"/>
      <c r="C696" s="4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22.5" customHeight="1">
      <c r="A697" s="4"/>
      <c r="B697" s="21"/>
      <c r="C697" s="4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22.5" customHeight="1">
      <c r="A698" s="4"/>
      <c r="B698" s="21"/>
      <c r="C698" s="4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22.5" customHeight="1">
      <c r="A699" s="4"/>
      <c r="B699" s="21"/>
      <c r="C699" s="4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22.5" customHeight="1">
      <c r="A700" s="4"/>
      <c r="B700" s="21"/>
      <c r="C700" s="4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22.5" customHeight="1">
      <c r="A701" s="4"/>
      <c r="B701" s="21"/>
      <c r="C701" s="4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22.5" customHeight="1">
      <c r="A702" s="4"/>
      <c r="B702" s="21"/>
      <c r="C702" s="4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22.5" customHeight="1">
      <c r="A703" s="4"/>
      <c r="B703" s="21"/>
      <c r="C703" s="4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22.5" customHeight="1">
      <c r="A704" s="4"/>
      <c r="B704" s="21"/>
      <c r="C704" s="4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22.5" customHeight="1">
      <c r="A705" s="4"/>
      <c r="B705" s="21"/>
      <c r="C705" s="4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22.5" customHeight="1">
      <c r="A706" s="4"/>
      <c r="B706" s="21"/>
      <c r="C706" s="4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22.5" customHeight="1">
      <c r="A707" s="4"/>
      <c r="B707" s="21"/>
      <c r="C707" s="4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22.5" customHeight="1">
      <c r="A708" s="4"/>
      <c r="B708" s="21"/>
      <c r="C708" s="4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22.5" customHeight="1">
      <c r="A709" s="4"/>
      <c r="B709" s="21"/>
      <c r="C709" s="4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22.5" customHeight="1">
      <c r="A710" s="4"/>
      <c r="B710" s="21"/>
      <c r="C710" s="4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22.5" customHeight="1">
      <c r="A711" s="4"/>
      <c r="B711" s="21"/>
      <c r="C711" s="4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22.5" customHeight="1">
      <c r="A712" s="4"/>
      <c r="B712" s="21"/>
      <c r="C712" s="4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22.5" customHeight="1">
      <c r="A713" s="4"/>
      <c r="B713" s="21"/>
      <c r="C713" s="4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22.5" customHeight="1">
      <c r="A714" s="4"/>
      <c r="B714" s="21"/>
      <c r="C714" s="4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22.5" customHeight="1">
      <c r="A715" s="4"/>
      <c r="B715" s="21"/>
      <c r="C715" s="4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22.5" customHeight="1">
      <c r="A716" s="4"/>
      <c r="B716" s="21"/>
      <c r="C716" s="4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22.5" customHeight="1">
      <c r="A717" s="4"/>
      <c r="B717" s="21"/>
      <c r="C717" s="4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22.5" customHeight="1">
      <c r="A718" s="4"/>
      <c r="B718" s="21"/>
      <c r="C718" s="4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22.5" customHeight="1">
      <c r="A719" s="4"/>
      <c r="B719" s="21"/>
      <c r="C719" s="4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22.5" customHeight="1">
      <c r="A720" s="4"/>
      <c r="B720" s="21"/>
      <c r="C720" s="4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22.5" customHeight="1">
      <c r="A721" s="4"/>
      <c r="B721" s="21"/>
      <c r="C721" s="4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22.5" customHeight="1">
      <c r="A722" s="4"/>
      <c r="B722" s="21"/>
      <c r="C722" s="4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22.5" customHeight="1">
      <c r="A723" s="4"/>
      <c r="B723" s="21"/>
      <c r="C723" s="4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22.5" customHeight="1">
      <c r="A724" s="4"/>
      <c r="B724" s="21"/>
      <c r="C724" s="4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22.5" customHeight="1">
      <c r="A725" s="4"/>
      <c r="B725" s="21"/>
      <c r="C725" s="4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22.5" customHeight="1">
      <c r="A726" s="4"/>
      <c r="B726" s="21"/>
      <c r="C726" s="4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22.5" customHeight="1">
      <c r="A727" s="4"/>
      <c r="B727" s="21"/>
      <c r="C727" s="4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22.5" customHeight="1">
      <c r="A728" s="4"/>
      <c r="B728" s="21"/>
      <c r="C728" s="4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22.5" customHeight="1">
      <c r="A729" s="4"/>
      <c r="B729" s="21"/>
      <c r="C729" s="4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22.5" customHeight="1">
      <c r="A730" s="4"/>
      <c r="B730" s="21"/>
      <c r="C730" s="4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22.5" customHeight="1">
      <c r="A731" s="4"/>
      <c r="B731" s="21"/>
      <c r="C731" s="4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22.5" customHeight="1">
      <c r="A732" s="4"/>
      <c r="B732" s="21"/>
      <c r="C732" s="4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22.5" customHeight="1">
      <c r="A733" s="4"/>
      <c r="B733" s="21"/>
      <c r="C733" s="4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22.5" customHeight="1">
      <c r="A734" s="4"/>
      <c r="B734" s="21"/>
      <c r="C734" s="4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22.5" customHeight="1">
      <c r="A735" s="4"/>
      <c r="B735" s="21"/>
      <c r="C735" s="4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22.5" customHeight="1">
      <c r="A736" s="4"/>
      <c r="B736" s="21"/>
      <c r="C736" s="4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22.5" customHeight="1">
      <c r="A737" s="4"/>
      <c r="B737" s="21"/>
      <c r="C737" s="4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22.5" customHeight="1">
      <c r="A738" s="4"/>
      <c r="B738" s="21"/>
      <c r="C738" s="4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22.5" customHeight="1">
      <c r="A739" s="4"/>
      <c r="B739" s="21"/>
      <c r="C739" s="4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22.5" customHeight="1">
      <c r="A740" s="4"/>
      <c r="B740" s="21"/>
      <c r="C740" s="4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22.5" customHeight="1">
      <c r="A741" s="4"/>
      <c r="B741" s="21"/>
      <c r="C741" s="4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22.5" customHeight="1">
      <c r="A742" s="4"/>
      <c r="B742" s="21"/>
      <c r="C742" s="4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22.5" customHeight="1">
      <c r="A743" s="4"/>
      <c r="B743" s="21"/>
      <c r="C743" s="4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22.5" customHeight="1">
      <c r="A744" s="4"/>
      <c r="B744" s="21"/>
      <c r="C744" s="4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22.5" customHeight="1">
      <c r="A745" s="4"/>
      <c r="B745" s="21"/>
      <c r="C745" s="4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22.5" customHeight="1">
      <c r="A746" s="4"/>
      <c r="B746" s="21"/>
      <c r="C746" s="4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22.5" customHeight="1">
      <c r="A747" s="4"/>
      <c r="B747" s="21"/>
      <c r="C747" s="4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22.5" customHeight="1">
      <c r="A748" s="4"/>
      <c r="B748" s="21"/>
      <c r="C748" s="4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22.5" customHeight="1">
      <c r="A749" s="4"/>
      <c r="B749" s="21"/>
      <c r="C749" s="4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22.5" customHeight="1">
      <c r="A750" s="4"/>
      <c r="B750" s="21"/>
      <c r="C750" s="4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22.5" customHeight="1">
      <c r="A751" s="4"/>
      <c r="B751" s="21"/>
      <c r="C751" s="4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22.5" customHeight="1">
      <c r="A752" s="4"/>
      <c r="B752" s="21"/>
      <c r="C752" s="4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22.5" customHeight="1">
      <c r="A753" s="4"/>
      <c r="B753" s="21"/>
      <c r="C753" s="4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22.5" customHeight="1">
      <c r="A754" s="4"/>
      <c r="B754" s="21"/>
      <c r="C754" s="4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22.5" customHeight="1">
      <c r="A755" s="4"/>
      <c r="B755" s="21"/>
      <c r="C755" s="4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22.5" customHeight="1">
      <c r="A756" s="4"/>
      <c r="B756" s="21"/>
      <c r="C756" s="4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22.5" customHeight="1">
      <c r="A757" s="4"/>
      <c r="B757" s="21"/>
      <c r="C757" s="4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22.5" customHeight="1">
      <c r="A758" s="4"/>
      <c r="B758" s="21"/>
      <c r="C758" s="4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22.5" customHeight="1">
      <c r="A759" s="4"/>
      <c r="B759" s="21"/>
      <c r="C759" s="4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22.5" customHeight="1">
      <c r="A760" s="4"/>
      <c r="B760" s="21"/>
      <c r="C760" s="4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22.5" customHeight="1">
      <c r="A761" s="4"/>
      <c r="B761" s="21"/>
      <c r="C761" s="4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22.5" customHeight="1">
      <c r="A762" s="4"/>
      <c r="B762" s="21"/>
      <c r="C762" s="4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22.5" customHeight="1">
      <c r="A763" s="4"/>
      <c r="B763" s="21"/>
      <c r="C763" s="4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22.5" customHeight="1">
      <c r="A764" s="4"/>
      <c r="B764" s="21"/>
      <c r="C764" s="4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22.5" customHeight="1">
      <c r="A765" s="4"/>
      <c r="B765" s="21"/>
      <c r="C765" s="4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22.5" customHeight="1">
      <c r="A766" s="4"/>
      <c r="B766" s="21"/>
      <c r="C766" s="4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22.5" customHeight="1">
      <c r="A767" s="4"/>
      <c r="B767" s="21"/>
      <c r="C767" s="4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22.5" customHeight="1">
      <c r="A768" s="4"/>
      <c r="B768" s="21"/>
      <c r="C768" s="4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22.5" customHeight="1">
      <c r="A769" s="4"/>
      <c r="B769" s="21"/>
      <c r="C769" s="4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22.5" customHeight="1">
      <c r="A770" s="4"/>
      <c r="B770" s="21"/>
      <c r="C770" s="4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22.5" customHeight="1">
      <c r="A771" s="4"/>
      <c r="B771" s="21"/>
      <c r="C771" s="4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22.5" customHeight="1">
      <c r="A772" s="4"/>
      <c r="B772" s="21"/>
      <c r="C772" s="4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22.5" customHeight="1">
      <c r="A773" s="4"/>
      <c r="B773" s="21"/>
      <c r="C773" s="4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22.5" customHeight="1">
      <c r="A774" s="4"/>
      <c r="B774" s="21"/>
      <c r="C774" s="4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22.5" customHeight="1">
      <c r="A775" s="4"/>
      <c r="B775" s="21"/>
      <c r="C775" s="4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22.5" customHeight="1">
      <c r="A776" s="4"/>
      <c r="B776" s="21"/>
      <c r="C776" s="4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22.5" customHeight="1">
      <c r="A777" s="4"/>
      <c r="B777" s="21"/>
      <c r="C777" s="4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22.5" customHeight="1">
      <c r="A778" s="4"/>
      <c r="B778" s="21"/>
      <c r="C778" s="4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22.5" customHeight="1">
      <c r="A779" s="4"/>
      <c r="B779" s="21"/>
      <c r="C779" s="4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22.5" customHeight="1">
      <c r="A780" s="4"/>
      <c r="B780" s="21"/>
      <c r="C780" s="4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22.5" customHeight="1">
      <c r="A781" s="4"/>
      <c r="B781" s="21"/>
      <c r="C781" s="4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22.5" customHeight="1">
      <c r="A782" s="4"/>
      <c r="B782" s="21"/>
      <c r="C782" s="4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22.5" customHeight="1">
      <c r="A783" s="4"/>
      <c r="B783" s="21"/>
      <c r="C783" s="4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22.5" customHeight="1">
      <c r="A784" s="4"/>
      <c r="B784" s="21"/>
      <c r="C784" s="4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22.5" customHeight="1">
      <c r="A785" s="4"/>
      <c r="B785" s="21"/>
      <c r="C785" s="4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22.5" customHeight="1">
      <c r="A786" s="4"/>
      <c r="B786" s="21"/>
      <c r="C786" s="4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22.5" customHeight="1">
      <c r="A787" s="4"/>
      <c r="B787" s="21"/>
      <c r="C787" s="4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22.5" customHeight="1">
      <c r="A788" s="4"/>
      <c r="B788" s="21"/>
      <c r="C788" s="4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22.5" customHeight="1">
      <c r="A789" s="4"/>
      <c r="B789" s="21"/>
      <c r="C789" s="4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22.5" customHeight="1">
      <c r="A790" s="4"/>
      <c r="B790" s="21"/>
      <c r="C790" s="4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22.5" customHeight="1">
      <c r="A791" s="4"/>
      <c r="B791" s="21"/>
      <c r="C791" s="4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22.5" customHeight="1">
      <c r="A792" s="4"/>
      <c r="B792" s="21"/>
      <c r="C792" s="4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22.5" customHeight="1">
      <c r="A793" s="4"/>
      <c r="B793" s="21"/>
      <c r="C793" s="4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22.5" customHeight="1">
      <c r="A794" s="4"/>
      <c r="B794" s="21"/>
      <c r="C794" s="4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22.5" customHeight="1">
      <c r="A795" s="4"/>
      <c r="B795" s="21"/>
      <c r="C795" s="4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22.5" customHeight="1">
      <c r="A796" s="4"/>
      <c r="B796" s="21"/>
      <c r="C796" s="4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22.5" customHeight="1">
      <c r="A797" s="4"/>
      <c r="B797" s="21"/>
      <c r="C797" s="4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22.5" customHeight="1">
      <c r="A798" s="4"/>
      <c r="B798" s="21"/>
      <c r="C798" s="4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22.5" customHeight="1">
      <c r="A799" s="4"/>
      <c r="B799" s="21"/>
      <c r="C799" s="4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22.5" customHeight="1">
      <c r="A800" s="4"/>
      <c r="B800" s="21"/>
      <c r="C800" s="4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22.5" customHeight="1">
      <c r="A801" s="4"/>
      <c r="B801" s="21"/>
      <c r="C801" s="4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22.5" customHeight="1">
      <c r="A802" s="4"/>
      <c r="B802" s="21"/>
      <c r="C802" s="4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22.5" customHeight="1">
      <c r="A803" s="4"/>
      <c r="B803" s="21"/>
      <c r="C803" s="4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22.5" customHeight="1">
      <c r="A804" s="4"/>
      <c r="B804" s="21"/>
      <c r="C804" s="4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22.5" customHeight="1">
      <c r="A805" s="4"/>
      <c r="B805" s="21"/>
      <c r="C805" s="4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22.5" customHeight="1">
      <c r="A806" s="4"/>
      <c r="B806" s="21"/>
      <c r="C806" s="4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22.5" customHeight="1">
      <c r="A807" s="4"/>
      <c r="B807" s="21"/>
      <c r="C807" s="4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22.5" customHeight="1">
      <c r="A808" s="4"/>
      <c r="B808" s="21"/>
      <c r="C808" s="4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22.5" customHeight="1">
      <c r="A809" s="4"/>
      <c r="B809" s="21"/>
      <c r="C809" s="4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22.5" customHeight="1">
      <c r="A810" s="4"/>
      <c r="B810" s="21"/>
      <c r="C810" s="4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22.5" customHeight="1">
      <c r="A811" s="4"/>
      <c r="B811" s="21"/>
      <c r="C811" s="4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22.5" customHeight="1">
      <c r="A812" s="4"/>
      <c r="B812" s="21"/>
      <c r="C812" s="4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22.5" customHeight="1">
      <c r="A813" s="4"/>
      <c r="B813" s="21"/>
      <c r="C813" s="4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22.5" customHeight="1">
      <c r="A814" s="4"/>
      <c r="B814" s="21"/>
      <c r="C814" s="4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22.5" customHeight="1">
      <c r="A815" s="4"/>
      <c r="B815" s="21"/>
      <c r="C815" s="4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22.5" customHeight="1">
      <c r="A816" s="4"/>
      <c r="B816" s="21"/>
      <c r="C816" s="4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22.5" customHeight="1">
      <c r="A817" s="4"/>
      <c r="B817" s="21"/>
      <c r="C817" s="4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22.5" customHeight="1">
      <c r="A818" s="4"/>
      <c r="B818" s="21"/>
      <c r="C818" s="4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22.5" customHeight="1">
      <c r="A819" s="4"/>
      <c r="B819" s="21"/>
      <c r="C819" s="4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22.5" customHeight="1">
      <c r="A820" s="4"/>
      <c r="B820" s="21"/>
      <c r="C820" s="4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22.5" customHeight="1">
      <c r="A821" s="4"/>
      <c r="B821" s="21"/>
      <c r="C821" s="4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22.5" customHeight="1">
      <c r="A822" s="4"/>
      <c r="B822" s="21"/>
      <c r="C822" s="4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22.5" customHeight="1">
      <c r="A823" s="4"/>
      <c r="B823" s="21"/>
      <c r="C823" s="4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22.5" customHeight="1">
      <c r="A824" s="4"/>
      <c r="B824" s="21"/>
      <c r="C824" s="4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22.5" customHeight="1">
      <c r="A825" s="4"/>
      <c r="B825" s="21"/>
      <c r="C825" s="4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22.5" customHeight="1">
      <c r="A826" s="4"/>
      <c r="B826" s="21"/>
      <c r="C826" s="4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22.5" customHeight="1">
      <c r="A827" s="4"/>
      <c r="B827" s="21"/>
      <c r="C827" s="4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22.5" customHeight="1">
      <c r="A828" s="4"/>
      <c r="B828" s="21"/>
      <c r="C828" s="4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22.5" customHeight="1">
      <c r="A829" s="4"/>
      <c r="B829" s="21"/>
      <c r="C829" s="4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22.5" customHeight="1">
      <c r="A830" s="4"/>
      <c r="B830" s="21"/>
      <c r="C830" s="4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22.5" customHeight="1">
      <c r="A831" s="4"/>
      <c r="B831" s="21"/>
      <c r="C831" s="4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22.5" customHeight="1">
      <c r="A832" s="4"/>
      <c r="B832" s="21"/>
      <c r="C832" s="4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22.5" customHeight="1">
      <c r="A833" s="4"/>
      <c r="B833" s="21"/>
      <c r="C833" s="4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22.5" customHeight="1">
      <c r="A834" s="4"/>
      <c r="B834" s="21"/>
      <c r="C834" s="4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22.5" customHeight="1">
      <c r="A835" s="4"/>
      <c r="B835" s="21"/>
      <c r="C835" s="4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22.5" customHeight="1">
      <c r="A836" s="4"/>
      <c r="B836" s="21"/>
      <c r="C836" s="4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22.5" customHeight="1">
      <c r="A837" s="4"/>
      <c r="B837" s="21"/>
      <c r="C837" s="4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22.5" customHeight="1">
      <c r="A838" s="4"/>
      <c r="B838" s="21"/>
      <c r="C838" s="4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22.5" customHeight="1">
      <c r="A839" s="4"/>
      <c r="B839" s="21"/>
      <c r="C839" s="4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22.5" customHeight="1">
      <c r="A840" s="4"/>
      <c r="B840" s="21"/>
      <c r="C840" s="4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22.5" customHeight="1">
      <c r="A841" s="4"/>
      <c r="B841" s="21"/>
      <c r="C841" s="4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22.5" customHeight="1">
      <c r="A842" s="4"/>
      <c r="B842" s="21"/>
      <c r="C842" s="4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22.5" customHeight="1">
      <c r="A843" s="4"/>
      <c r="B843" s="21"/>
      <c r="C843" s="4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22.5" customHeight="1">
      <c r="A844" s="4"/>
      <c r="B844" s="21"/>
      <c r="C844" s="4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22.5" customHeight="1">
      <c r="A845" s="4"/>
      <c r="B845" s="21"/>
      <c r="C845" s="4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22.5" customHeight="1">
      <c r="A846" s="4"/>
      <c r="B846" s="21"/>
      <c r="C846" s="4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22.5" customHeight="1">
      <c r="A847" s="4"/>
      <c r="B847" s="21"/>
      <c r="C847" s="4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22.5" customHeight="1">
      <c r="A848" s="4"/>
      <c r="B848" s="21"/>
      <c r="C848" s="4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22.5" customHeight="1">
      <c r="A849" s="4"/>
      <c r="B849" s="21"/>
      <c r="C849" s="4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22.5" customHeight="1">
      <c r="A850" s="4"/>
      <c r="B850" s="21"/>
      <c r="C850" s="4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22.5" customHeight="1">
      <c r="A851" s="4"/>
      <c r="B851" s="21"/>
      <c r="C851" s="4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22.5" customHeight="1">
      <c r="A852" s="4"/>
      <c r="B852" s="21"/>
      <c r="C852" s="4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22.5" customHeight="1">
      <c r="A853" s="4"/>
      <c r="B853" s="21"/>
      <c r="C853" s="4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22.5" customHeight="1">
      <c r="A854" s="4"/>
      <c r="B854" s="21"/>
      <c r="C854" s="4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22.5" customHeight="1">
      <c r="A855" s="4"/>
      <c r="B855" s="21"/>
      <c r="C855" s="4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22.5" customHeight="1">
      <c r="A856" s="4"/>
      <c r="B856" s="21"/>
      <c r="C856" s="4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22.5" customHeight="1">
      <c r="A857" s="4"/>
      <c r="B857" s="21"/>
      <c r="C857" s="4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22.5" customHeight="1">
      <c r="A858" s="4"/>
      <c r="B858" s="21"/>
      <c r="C858" s="4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22.5" customHeight="1">
      <c r="A859" s="4"/>
      <c r="B859" s="21"/>
      <c r="C859" s="4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22.5" customHeight="1">
      <c r="A860" s="4"/>
      <c r="B860" s="21"/>
      <c r="C860" s="4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22.5" customHeight="1">
      <c r="A861" s="4"/>
      <c r="B861" s="21"/>
      <c r="C861" s="4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22.5" customHeight="1">
      <c r="A862" s="4"/>
      <c r="B862" s="21"/>
      <c r="C862" s="4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22.5" customHeight="1">
      <c r="A863" s="4"/>
      <c r="B863" s="21"/>
      <c r="C863" s="4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22.5" customHeight="1">
      <c r="A864" s="4"/>
      <c r="B864" s="21"/>
      <c r="C864" s="4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22.5" customHeight="1">
      <c r="A865" s="4"/>
      <c r="B865" s="21"/>
      <c r="C865" s="4"/>
      <c r="D865" s="2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22.5" customHeight="1">
      <c r="A866" s="4"/>
      <c r="B866" s="21"/>
      <c r="C866" s="4"/>
      <c r="D866" s="2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22.5" customHeight="1">
      <c r="A867" s="4"/>
      <c r="B867" s="21"/>
      <c r="C867" s="4"/>
      <c r="D867" s="2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22.5" customHeight="1">
      <c r="A868" s="4"/>
      <c r="B868" s="21"/>
      <c r="C868" s="4"/>
      <c r="D868" s="2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22.5" customHeight="1">
      <c r="A869" s="4"/>
      <c r="B869" s="21"/>
      <c r="C869" s="4"/>
      <c r="D869" s="2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22.5" customHeight="1">
      <c r="A870" s="4"/>
      <c r="B870" s="21"/>
      <c r="C870" s="4"/>
      <c r="D870" s="2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22.5" customHeight="1">
      <c r="A871" s="4"/>
      <c r="B871" s="21"/>
      <c r="C871" s="4"/>
      <c r="D871" s="2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22.5" customHeight="1">
      <c r="A872" s="4"/>
      <c r="B872" s="21"/>
      <c r="C872" s="4"/>
      <c r="D872" s="2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22.5" customHeight="1">
      <c r="A873" s="4"/>
      <c r="B873" s="21"/>
      <c r="C873" s="4"/>
      <c r="D873" s="2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22.5" customHeight="1">
      <c r="A874" s="4"/>
      <c r="B874" s="21"/>
      <c r="C874" s="4"/>
      <c r="D874" s="2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22.5" customHeight="1">
      <c r="A875" s="4"/>
      <c r="B875" s="21"/>
      <c r="C875" s="4"/>
      <c r="D875" s="2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22.5" customHeight="1">
      <c r="A876" s="4"/>
      <c r="B876" s="21"/>
      <c r="C876" s="4"/>
      <c r="D876" s="2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22.5" customHeight="1">
      <c r="A877" s="4"/>
      <c r="B877" s="21"/>
      <c r="C877" s="4"/>
      <c r="D877" s="2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22.5" customHeight="1">
      <c r="A878" s="4"/>
      <c r="B878" s="21"/>
      <c r="C878" s="4"/>
      <c r="D878" s="2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22.5" customHeight="1">
      <c r="A879" s="4"/>
      <c r="B879" s="21"/>
      <c r="C879" s="4"/>
      <c r="D879" s="2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22.5" customHeight="1">
      <c r="A880" s="4"/>
      <c r="B880" s="21"/>
      <c r="C880" s="4"/>
      <c r="D880" s="2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22.5" customHeight="1">
      <c r="A881" s="4"/>
      <c r="B881" s="21"/>
      <c r="C881" s="4"/>
      <c r="D881" s="2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22.5" customHeight="1">
      <c r="A882" s="4"/>
      <c r="B882" s="21"/>
      <c r="C882" s="4"/>
      <c r="D882" s="2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22.5" customHeight="1">
      <c r="A883" s="4"/>
      <c r="B883" s="21"/>
      <c r="C883" s="4"/>
      <c r="D883" s="2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22.5" customHeight="1">
      <c r="A884" s="4"/>
      <c r="B884" s="21"/>
      <c r="C884" s="4"/>
      <c r="D884" s="2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22.5" customHeight="1">
      <c r="A885" s="4"/>
      <c r="B885" s="21"/>
      <c r="C885" s="4"/>
      <c r="D885" s="2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22.5" customHeight="1">
      <c r="A886" s="4"/>
      <c r="B886" s="21"/>
      <c r="C886" s="4"/>
      <c r="D886" s="2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22.5" customHeight="1">
      <c r="A887" s="4"/>
      <c r="B887" s="21"/>
      <c r="C887" s="4"/>
      <c r="D887" s="2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22.5" customHeight="1">
      <c r="A888" s="4"/>
      <c r="B888" s="21"/>
      <c r="C888" s="4"/>
      <c r="D888" s="2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22.5" customHeight="1">
      <c r="A889" s="4"/>
      <c r="B889" s="21"/>
      <c r="C889" s="4"/>
      <c r="D889" s="2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22.5" customHeight="1">
      <c r="A890" s="4"/>
      <c r="B890" s="21"/>
      <c r="C890" s="4"/>
      <c r="D890" s="2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22.5" customHeight="1">
      <c r="A891" s="4"/>
      <c r="B891" s="21"/>
      <c r="C891" s="4"/>
      <c r="D891" s="2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22.5" customHeight="1">
      <c r="A892" s="4"/>
      <c r="B892" s="21"/>
      <c r="C892" s="4"/>
      <c r="D892" s="2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22.5" customHeight="1">
      <c r="A893" s="4"/>
      <c r="B893" s="21"/>
      <c r="C893" s="4"/>
      <c r="D893" s="2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22.5" customHeight="1">
      <c r="A894" s="4"/>
      <c r="B894" s="21"/>
      <c r="C894" s="4"/>
      <c r="D894" s="2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22.5" customHeight="1">
      <c r="A895" s="4"/>
      <c r="B895" s="21"/>
      <c r="C895" s="4"/>
      <c r="D895" s="2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22.5" customHeight="1">
      <c r="A896" s="4"/>
      <c r="B896" s="21"/>
      <c r="C896" s="4"/>
      <c r="D896" s="2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22.5" customHeight="1">
      <c r="A897" s="4"/>
      <c r="B897" s="21"/>
      <c r="C897" s="4"/>
      <c r="D897" s="2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22.5" customHeight="1">
      <c r="A898" s="4"/>
      <c r="B898" s="21"/>
      <c r="C898" s="4"/>
      <c r="D898" s="2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22.5" customHeight="1">
      <c r="A899" s="4"/>
      <c r="B899" s="21"/>
      <c r="C899" s="4"/>
      <c r="D899" s="2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22.5" customHeight="1">
      <c r="A900" s="4"/>
      <c r="B900" s="21"/>
      <c r="C900" s="4"/>
      <c r="D900" s="2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22.5" customHeight="1">
      <c r="A901" s="4"/>
      <c r="B901" s="21"/>
      <c r="C901" s="4"/>
      <c r="D901" s="2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22.5" customHeight="1">
      <c r="A902" s="4"/>
      <c r="B902" s="21"/>
      <c r="C902" s="4"/>
      <c r="D902" s="2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22.5" customHeight="1">
      <c r="A903" s="4"/>
      <c r="B903" s="21"/>
      <c r="C903" s="4"/>
      <c r="D903" s="2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22.5" customHeight="1">
      <c r="A904" s="4"/>
      <c r="B904" s="21"/>
      <c r="C904" s="4"/>
      <c r="D904" s="2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22.5" customHeight="1">
      <c r="A905" s="4"/>
      <c r="B905" s="21"/>
      <c r="C905" s="4"/>
      <c r="D905" s="2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22.5" customHeight="1">
      <c r="A906" s="4"/>
      <c r="B906" s="21"/>
      <c r="C906" s="4"/>
      <c r="D906" s="2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22.5" customHeight="1">
      <c r="A907" s="4"/>
      <c r="B907" s="21"/>
      <c r="C907" s="4"/>
      <c r="D907" s="2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22.5" customHeight="1">
      <c r="A908" s="4"/>
      <c r="B908" s="21"/>
      <c r="C908" s="4"/>
      <c r="D908" s="2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22.5" customHeight="1">
      <c r="A909" s="4"/>
      <c r="B909" s="21"/>
      <c r="C909" s="4"/>
      <c r="D909" s="2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22.5" customHeight="1">
      <c r="A910" s="4"/>
      <c r="B910" s="21"/>
      <c r="C910" s="4"/>
      <c r="D910" s="2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22.5" customHeight="1">
      <c r="A911" s="4"/>
      <c r="B911" s="21"/>
      <c r="C911" s="4"/>
      <c r="D911" s="2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22.5" customHeight="1">
      <c r="A912" s="4"/>
      <c r="B912" s="21"/>
      <c r="C912" s="4"/>
      <c r="D912" s="2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22.5" customHeight="1">
      <c r="A913" s="4"/>
      <c r="B913" s="21"/>
      <c r="C913" s="4"/>
      <c r="D913" s="2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22.5" customHeight="1">
      <c r="A914" s="4"/>
      <c r="B914" s="21"/>
      <c r="C914" s="4"/>
      <c r="D914" s="2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22.5" customHeight="1">
      <c r="A915" s="4"/>
      <c r="B915" s="21"/>
      <c r="C915" s="4"/>
      <c r="D915" s="2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22.5" customHeight="1">
      <c r="A916" s="4"/>
      <c r="B916" s="21"/>
      <c r="C916" s="4"/>
      <c r="D916" s="2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22.5" customHeight="1">
      <c r="A917" s="4"/>
      <c r="B917" s="21"/>
      <c r="C917" s="4"/>
      <c r="D917" s="2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22.5" customHeight="1">
      <c r="A918" s="4"/>
      <c r="B918" s="21"/>
      <c r="C918" s="4"/>
      <c r="D918" s="2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22.5" customHeight="1">
      <c r="A919" s="4"/>
      <c r="B919" s="21"/>
      <c r="C919" s="4"/>
      <c r="D919" s="2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22.5" customHeight="1">
      <c r="A920" s="4"/>
      <c r="B920" s="21"/>
      <c r="C920" s="4"/>
      <c r="D920" s="2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22.5" customHeight="1">
      <c r="A921" s="4"/>
      <c r="B921" s="21"/>
      <c r="C921" s="4"/>
      <c r="D921" s="2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22.5" customHeight="1">
      <c r="A922" s="4"/>
      <c r="B922" s="21"/>
      <c r="C922" s="4"/>
      <c r="D922" s="2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22.5" customHeight="1">
      <c r="A923" s="4"/>
      <c r="B923" s="21"/>
      <c r="C923" s="4"/>
      <c r="D923" s="2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22.5" customHeight="1">
      <c r="A924" s="4"/>
      <c r="B924" s="21"/>
      <c r="C924" s="4"/>
      <c r="D924" s="2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22.5" customHeight="1">
      <c r="A925" s="4"/>
      <c r="B925" s="21"/>
      <c r="C925" s="4"/>
      <c r="D925" s="2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22.5" customHeight="1">
      <c r="A926" s="4"/>
      <c r="B926" s="21"/>
      <c r="C926" s="4"/>
      <c r="D926" s="2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22.5" customHeight="1">
      <c r="A927" s="4"/>
      <c r="B927" s="21"/>
      <c r="C927" s="4"/>
      <c r="D927" s="2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22.5" customHeight="1">
      <c r="A928" s="4"/>
      <c r="B928" s="21"/>
      <c r="C928" s="4"/>
      <c r="D928" s="2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22.5" customHeight="1">
      <c r="A929" s="4"/>
      <c r="B929" s="21"/>
      <c r="C929" s="4"/>
      <c r="D929" s="2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22.5" customHeight="1">
      <c r="A930" s="4"/>
      <c r="B930" s="21"/>
      <c r="C930" s="4"/>
      <c r="D930" s="2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22.5" customHeight="1">
      <c r="A931" s="4"/>
      <c r="B931" s="21"/>
      <c r="C931" s="4"/>
      <c r="D931" s="2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22.5" customHeight="1">
      <c r="A932" s="4"/>
      <c r="B932" s="21"/>
      <c r="C932" s="4"/>
      <c r="D932" s="2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22.5" customHeight="1">
      <c r="A933" s="4"/>
      <c r="B933" s="21"/>
      <c r="C933" s="4"/>
      <c r="D933" s="2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22.5" customHeight="1">
      <c r="A934" s="4"/>
      <c r="B934" s="21"/>
      <c r="C934" s="4"/>
      <c r="D934" s="2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22.5" customHeight="1">
      <c r="A935" s="4"/>
      <c r="B935" s="21"/>
      <c r="C935" s="4"/>
      <c r="D935" s="2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22.5" customHeight="1">
      <c r="A936" s="4"/>
      <c r="B936" s="21"/>
      <c r="C936" s="4"/>
      <c r="D936" s="2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22.5" customHeight="1">
      <c r="A937" s="4"/>
      <c r="B937" s="21"/>
      <c r="C937" s="4"/>
      <c r="D937" s="2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22.5" customHeight="1">
      <c r="A938" s="4"/>
      <c r="B938" s="21"/>
      <c r="C938" s="4"/>
      <c r="D938" s="2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22.5" customHeight="1">
      <c r="A939" s="4"/>
      <c r="B939" s="21"/>
      <c r="C939" s="4"/>
      <c r="D939" s="2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22.5" customHeight="1">
      <c r="A940" s="4"/>
      <c r="B940" s="21"/>
      <c r="C940" s="4"/>
      <c r="D940" s="2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22.5" customHeight="1">
      <c r="A941" s="4"/>
      <c r="B941" s="21"/>
      <c r="C941" s="4"/>
      <c r="D941" s="2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22.5" customHeight="1">
      <c r="A942" s="4"/>
      <c r="B942" s="21"/>
      <c r="C942" s="4"/>
      <c r="D942" s="2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22.5" customHeight="1">
      <c r="A943" s="4"/>
      <c r="B943" s="21"/>
      <c r="C943" s="4"/>
      <c r="D943" s="2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22.5" customHeight="1">
      <c r="A944" s="4"/>
      <c r="B944" s="21"/>
      <c r="C944" s="4"/>
      <c r="D944" s="2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22.5" customHeight="1">
      <c r="A945" s="4"/>
      <c r="B945" s="21"/>
      <c r="C945" s="4"/>
      <c r="D945" s="2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22.5" customHeight="1">
      <c r="A946" s="4"/>
      <c r="B946" s="21"/>
      <c r="C946" s="4"/>
      <c r="D946" s="2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22.5" customHeight="1">
      <c r="A947" s="4"/>
      <c r="B947" s="21"/>
      <c r="C947" s="4"/>
      <c r="D947" s="2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22.5" customHeight="1">
      <c r="A948" s="4"/>
      <c r="B948" s="21"/>
      <c r="C948" s="4"/>
      <c r="D948" s="2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22.5" customHeight="1">
      <c r="A949" s="4"/>
      <c r="B949" s="21"/>
      <c r="C949" s="4"/>
      <c r="D949" s="2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22.5" customHeight="1">
      <c r="A950" s="4"/>
      <c r="B950" s="21"/>
      <c r="C950" s="4"/>
      <c r="D950" s="2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22.5" customHeight="1">
      <c r="A951" s="4"/>
      <c r="B951" s="21"/>
      <c r="C951" s="4"/>
      <c r="D951" s="2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22.5" customHeight="1">
      <c r="A952" s="4"/>
      <c r="B952" s="21"/>
      <c r="C952" s="4"/>
      <c r="D952" s="2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22.5" customHeight="1">
      <c r="A953" s="4"/>
      <c r="B953" s="21"/>
      <c r="C953" s="4"/>
      <c r="D953" s="2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22.5" customHeight="1">
      <c r="A954" s="4"/>
      <c r="B954" s="21"/>
      <c r="C954" s="4"/>
      <c r="D954" s="2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22.5" customHeight="1">
      <c r="A955" s="4"/>
      <c r="B955" s="21"/>
      <c r="C955" s="4"/>
      <c r="D955" s="2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22.5" customHeight="1">
      <c r="A956" s="4"/>
      <c r="B956" s="21"/>
      <c r="C956" s="4"/>
      <c r="D956" s="2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22.5" customHeight="1">
      <c r="A957" s="4"/>
      <c r="B957" s="21"/>
      <c r="C957" s="4"/>
      <c r="D957" s="2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22.5" customHeight="1">
      <c r="A958" s="4"/>
      <c r="B958" s="21"/>
      <c r="C958" s="4"/>
      <c r="D958" s="2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22.5" customHeight="1">
      <c r="A959" s="4"/>
      <c r="B959" s="21"/>
      <c r="C959" s="4"/>
      <c r="D959" s="2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22.5" customHeight="1">
      <c r="A960" s="4"/>
      <c r="B960" s="21"/>
      <c r="C960" s="4"/>
      <c r="D960" s="2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22.5" customHeight="1">
      <c r="A961" s="4"/>
      <c r="B961" s="21"/>
      <c r="C961" s="4"/>
      <c r="D961" s="2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22.5" customHeight="1">
      <c r="A962" s="4"/>
      <c r="B962" s="21"/>
      <c r="C962" s="4"/>
      <c r="D962" s="2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22.5" customHeight="1">
      <c r="A963" s="4"/>
      <c r="B963" s="21"/>
      <c r="C963" s="4"/>
      <c r="D963" s="2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22.5" customHeight="1">
      <c r="A964" s="4"/>
      <c r="B964" s="21"/>
      <c r="C964" s="4"/>
      <c r="D964" s="2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22.5" customHeight="1">
      <c r="A965" s="4"/>
      <c r="B965" s="21"/>
      <c r="C965" s="4"/>
      <c r="D965" s="2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22.5" customHeight="1">
      <c r="A966" s="4"/>
      <c r="B966" s="21"/>
      <c r="C966" s="4"/>
      <c r="D966" s="2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22.5" customHeight="1">
      <c r="A967" s="4"/>
      <c r="B967" s="21"/>
      <c r="C967" s="4"/>
      <c r="D967" s="2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22.5" customHeight="1">
      <c r="A968" s="4"/>
      <c r="B968" s="21"/>
      <c r="C968" s="4"/>
      <c r="D968" s="2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22.5" customHeight="1">
      <c r="A969" s="4"/>
      <c r="B969" s="21"/>
      <c r="C969" s="4"/>
      <c r="D969" s="2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22.5" customHeight="1">
      <c r="A970" s="4"/>
      <c r="B970" s="21"/>
      <c r="C970" s="4"/>
      <c r="D970" s="2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22.5" customHeight="1">
      <c r="A971" s="4"/>
      <c r="B971" s="21"/>
      <c r="C971" s="4"/>
      <c r="D971" s="2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22.5" customHeight="1">
      <c r="A972" s="4"/>
      <c r="B972" s="21"/>
      <c r="C972" s="4"/>
      <c r="D972" s="2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22.5" customHeight="1">
      <c r="A973" s="4"/>
      <c r="B973" s="21"/>
      <c r="C973" s="4"/>
      <c r="D973" s="2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22.5" customHeight="1">
      <c r="A974" s="4"/>
      <c r="B974" s="21"/>
      <c r="C974" s="4"/>
      <c r="D974" s="2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22.5" customHeight="1">
      <c r="A975" s="4"/>
      <c r="B975" s="21"/>
      <c r="C975" s="4"/>
      <c r="D975" s="2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22.5" customHeight="1">
      <c r="A976" s="4"/>
      <c r="B976" s="21"/>
      <c r="C976" s="4"/>
      <c r="D976" s="2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22.5" customHeight="1">
      <c r="A977" s="4"/>
      <c r="B977" s="21"/>
      <c r="C977" s="4"/>
      <c r="D977" s="2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22.5" customHeight="1">
      <c r="A978" s="4"/>
      <c r="B978" s="21"/>
      <c r="C978" s="4"/>
      <c r="D978" s="2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22.5" customHeight="1">
      <c r="A979" s="4"/>
      <c r="B979" s="21"/>
      <c r="C979" s="4"/>
      <c r="D979" s="2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22.5" customHeight="1">
      <c r="A980" s="4"/>
      <c r="B980" s="21"/>
      <c r="C980" s="4"/>
      <c r="D980" s="2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22.5" customHeight="1">
      <c r="A981" s="4"/>
      <c r="B981" s="21"/>
      <c r="C981" s="4"/>
      <c r="D981" s="2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22.5" customHeight="1">
      <c r="A982" s="4"/>
      <c r="B982" s="21"/>
      <c r="C982" s="4"/>
      <c r="D982" s="2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22.5" customHeight="1">
      <c r="A983" s="4"/>
      <c r="B983" s="21"/>
      <c r="C983" s="4"/>
      <c r="D983" s="2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0.88"/>
    <col customWidth="1" min="3" max="4" width="12.13"/>
    <col customWidth="1" min="5" max="5" width="9.5"/>
    <col customWidth="1" min="6" max="6" width="14.63"/>
    <col customWidth="1" min="7" max="11" width="12.63"/>
    <col customWidth="1" min="12" max="12" width="13.0"/>
    <col customWidth="1" min="13" max="17" width="12.63"/>
    <col customWidth="1" min="18" max="30" width="14.63"/>
  </cols>
  <sheetData>
    <row r="1" ht="18.0" customHeight="1">
      <c r="A1" s="10" t="s">
        <v>26</v>
      </c>
      <c r="B1" s="14">
        <v>30000.0</v>
      </c>
      <c r="C1" s="10" t="s">
        <v>27</v>
      </c>
      <c r="D1" s="14">
        <v>10000.0</v>
      </c>
      <c r="E1" s="10" t="s">
        <v>28</v>
      </c>
      <c r="F1" s="14">
        <v>1000.0</v>
      </c>
      <c r="G1" s="10" t="s">
        <v>29</v>
      </c>
      <c r="H1" s="39">
        <v>0.22</v>
      </c>
      <c r="I1" s="59" t="s">
        <v>72</v>
      </c>
      <c r="J1" s="57">
        <v>0.15</v>
      </c>
      <c r="K1" s="40"/>
      <c r="L1" s="40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8.0" customHeight="1">
      <c r="A2" s="1"/>
      <c r="B2" s="2"/>
      <c r="C2" s="1"/>
      <c r="D2" s="3"/>
      <c r="E2" s="1"/>
      <c r="F2" s="1"/>
      <c r="G2" s="1"/>
      <c r="H2" s="1"/>
      <c r="I2" s="1"/>
      <c r="J2" s="40"/>
      <c r="K2" s="40"/>
      <c r="L2" s="40"/>
      <c r="M2" s="60"/>
      <c r="N2" s="61"/>
      <c r="O2" s="61"/>
      <c r="P2" s="61"/>
      <c r="Q2" s="62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18.0" customHeight="1">
      <c r="A3" s="42"/>
      <c r="B3" s="43" t="s">
        <v>30</v>
      </c>
      <c r="C3" s="44" t="s">
        <v>31</v>
      </c>
      <c r="D3" s="45" t="s">
        <v>32</v>
      </c>
      <c r="E3" s="44" t="s">
        <v>33</v>
      </c>
      <c r="F3" s="44" t="s">
        <v>34</v>
      </c>
      <c r="G3" s="44" t="s">
        <v>35</v>
      </c>
      <c r="H3" s="44" t="s">
        <v>36</v>
      </c>
      <c r="I3" s="44" t="s">
        <v>37</v>
      </c>
      <c r="J3" s="44" t="s">
        <v>38</v>
      </c>
      <c r="K3" s="44" t="s">
        <v>39</v>
      </c>
      <c r="L3" s="46" t="s">
        <v>40</v>
      </c>
      <c r="M3" s="63" t="s">
        <v>72</v>
      </c>
      <c r="N3" s="52" t="s">
        <v>73</v>
      </c>
      <c r="O3" s="52" t="s">
        <v>74</v>
      </c>
      <c r="P3" s="52" t="s">
        <v>75</v>
      </c>
      <c r="Q3" s="44" t="s">
        <v>40</v>
      </c>
      <c r="R3" s="64"/>
      <c r="S3" s="64"/>
      <c r="T3" s="64"/>
      <c r="U3" s="64"/>
      <c r="V3" s="64"/>
      <c r="W3" s="64"/>
      <c r="X3" s="64"/>
      <c r="Y3" s="64"/>
      <c r="Z3" s="64"/>
      <c r="AA3" s="64"/>
    </row>
    <row r="4" ht="18.0" customHeight="1">
      <c r="A4" s="10" t="s">
        <v>41</v>
      </c>
      <c r="B4" s="5">
        <v>1.0</v>
      </c>
      <c r="C4" s="47">
        <v>0.4</v>
      </c>
      <c r="D4" s="14">
        <f t="shared" ref="D4:D8" si="2">$B$1*B4*(1-C4)</f>
        <v>18000</v>
      </c>
      <c r="E4" s="12">
        <v>20.0</v>
      </c>
      <c r="F4" s="14">
        <f t="shared" ref="F4:F14" si="3">D4*E4</f>
        <v>360000</v>
      </c>
      <c r="G4" s="14">
        <f t="shared" ref="G4:G14" si="4">F4*(1-$H$1)-$D$1*B4*E4-E4*$F$1</f>
        <v>60800</v>
      </c>
      <c r="H4" s="14">
        <f t="shared" ref="H4:H14" si="5">G4/E4</f>
        <v>3040</v>
      </c>
      <c r="I4" s="39">
        <f t="shared" ref="I4:I14" si="6">G4/F4</f>
        <v>0.1688888889</v>
      </c>
      <c r="J4" s="14">
        <f t="shared" ref="J4:K4" si="1">F4</f>
        <v>360000</v>
      </c>
      <c r="K4" s="14">
        <f t="shared" si="1"/>
        <v>60800</v>
      </c>
      <c r="L4" s="48">
        <f t="shared" ref="L4:L15" si="7">K4/J4</f>
        <v>0.1688888889</v>
      </c>
      <c r="M4" s="65">
        <f t="shared" ref="M4:M14" si="8">F4*$J$1</f>
        <v>54000</v>
      </c>
      <c r="N4" s="51">
        <f t="shared" ref="N4:N14" si="9">G4-M4</f>
        <v>6800</v>
      </c>
      <c r="O4" s="66">
        <f t="shared" ref="O4:O14" si="10">N4/F4</f>
        <v>0.01888888889</v>
      </c>
      <c r="P4" s="51">
        <f>N4</f>
        <v>6800</v>
      </c>
      <c r="Q4" s="66">
        <f t="shared" ref="Q4:Q14" si="11">P4/J4</f>
        <v>0.01888888889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8.0" customHeight="1">
      <c r="A5" s="10" t="s">
        <v>42</v>
      </c>
      <c r="B5" s="5">
        <v>1.0</v>
      </c>
      <c r="C5" s="47">
        <v>0.35</v>
      </c>
      <c r="D5" s="14">
        <f t="shared" si="2"/>
        <v>19500</v>
      </c>
      <c r="E5" s="12">
        <v>30.0</v>
      </c>
      <c r="F5" s="14">
        <f t="shared" si="3"/>
        <v>585000</v>
      </c>
      <c r="G5" s="14">
        <f t="shared" si="4"/>
        <v>126300</v>
      </c>
      <c r="H5" s="14">
        <f t="shared" si="5"/>
        <v>4210</v>
      </c>
      <c r="I5" s="39">
        <f t="shared" si="6"/>
        <v>0.2158974359</v>
      </c>
      <c r="J5" s="14">
        <f t="shared" ref="J5:J14" si="12">F5+J4</f>
        <v>945000</v>
      </c>
      <c r="K5" s="14">
        <f t="shared" ref="K5:K14" si="13">K4+G5</f>
        <v>187100</v>
      </c>
      <c r="L5" s="48">
        <f t="shared" si="7"/>
        <v>0.197989418</v>
      </c>
      <c r="M5" s="65">
        <f t="shared" si="8"/>
        <v>87750</v>
      </c>
      <c r="N5" s="51">
        <f t="shared" si="9"/>
        <v>38550</v>
      </c>
      <c r="O5" s="66">
        <f t="shared" si="10"/>
        <v>0.0658974359</v>
      </c>
      <c r="P5" s="51">
        <f t="shared" ref="P5:P14" si="14">N5+P4</f>
        <v>45350</v>
      </c>
      <c r="Q5" s="66">
        <f t="shared" si="11"/>
        <v>0.04798941799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8.0" customHeight="1">
      <c r="A6" s="10" t="s">
        <v>43</v>
      </c>
      <c r="B6" s="5">
        <v>1.0</v>
      </c>
      <c r="C6" s="47">
        <v>0.3</v>
      </c>
      <c r="D6" s="14">
        <f t="shared" si="2"/>
        <v>21000</v>
      </c>
      <c r="E6" s="12">
        <v>40.0</v>
      </c>
      <c r="F6" s="14">
        <f t="shared" si="3"/>
        <v>840000</v>
      </c>
      <c r="G6" s="14">
        <f t="shared" si="4"/>
        <v>215200</v>
      </c>
      <c r="H6" s="14">
        <f t="shared" si="5"/>
        <v>5380</v>
      </c>
      <c r="I6" s="39">
        <f t="shared" si="6"/>
        <v>0.2561904762</v>
      </c>
      <c r="J6" s="14">
        <f t="shared" si="12"/>
        <v>1785000</v>
      </c>
      <c r="K6" s="14">
        <f t="shared" si="13"/>
        <v>402300</v>
      </c>
      <c r="L6" s="48">
        <f t="shared" si="7"/>
        <v>0.2253781513</v>
      </c>
      <c r="M6" s="65">
        <f t="shared" si="8"/>
        <v>126000</v>
      </c>
      <c r="N6" s="51">
        <f t="shared" si="9"/>
        <v>89200</v>
      </c>
      <c r="O6" s="66">
        <f t="shared" si="10"/>
        <v>0.1061904762</v>
      </c>
      <c r="P6" s="51">
        <f t="shared" si="14"/>
        <v>134550</v>
      </c>
      <c r="Q6" s="66">
        <f t="shared" si="11"/>
        <v>0.07537815126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8.0" customHeight="1">
      <c r="A7" s="10" t="s">
        <v>44</v>
      </c>
      <c r="B7" s="5">
        <v>1.0</v>
      </c>
      <c r="C7" s="47">
        <v>0.25</v>
      </c>
      <c r="D7" s="14">
        <f t="shared" si="2"/>
        <v>22500</v>
      </c>
      <c r="E7" s="12">
        <v>50.0</v>
      </c>
      <c r="F7" s="14">
        <f t="shared" si="3"/>
        <v>1125000</v>
      </c>
      <c r="G7" s="14">
        <f t="shared" si="4"/>
        <v>327500</v>
      </c>
      <c r="H7" s="14">
        <f t="shared" si="5"/>
        <v>6550</v>
      </c>
      <c r="I7" s="39">
        <f t="shared" si="6"/>
        <v>0.2911111111</v>
      </c>
      <c r="J7" s="14">
        <f t="shared" si="12"/>
        <v>2910000</v>
      </c>
      <c r="K7" s="14">
        <f t="shared" si="13"/>
        <v>729800</v>
      </c>
      <c r="L7" s="48">
        <f t="shared" si="7"/>
        <v>0.250790378</v>
      </c>
      <c r="M7" s="65">
        <f t="shared" si="8"/>
        <v>168750</v>
      </c>
      <c r="N7" s="51">
        <f t="shared" si="9"/>
        <v>158750</v>
      </c>
      <c r="O7" s="66">
        <f t="shared" si="10"/>
        <v>0.1411111111</v>
      </c>
      <c r="P7" s="51">
        <f t="shared" si="14"/>
        <v>293300</v>
      </c>
      <c r="Q7" s="66">
        <f t="shared" si="11"/>
        <v>0.100790378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8.0" customHeight="1">
      <c r="A8" s="10" t="s">
        <v>45</v>
      </c>
      <c r="B8" s="5">
        <v>1.0</v>
      </c>
      <c r="C8" s="47">
        <v>0.2</v>
      </c>
      <c r="D8" s="14">
        <f t="shared" si="2"/>
        <v>24000</v>
      </c>
      <c r="E8" s="12">
        <v>70.0</v>
      </c>
      <c r="F8" s="14">
        <f t="shared" si="3"/>
        <v>1680000</v>
      </c>
      <c r="G8" s="14">
        <f t="shared" si="4"/>
        <v>540400</v>
      </c>
      <c r="H8" s="14">
        <f t="shared" si="5"/>
        <v>7720</v>
      </c>
      <c r="I8" s="39">
        <f t="shared" si="6"/>
        <v>0.3216666667</v>
      </c>
      <c r="J8" s="14">
        <f t="shared" si="12"/>
        <v>4590000</v>
      </c>
      <c r="K8" s="14">
        <f t="shared" si="13"/>
        <v>1270200</v>
      </c>
      <c r="L8" s="48">
        <f t="shared" si="7"/>
        <v>0.2767320261</v>
      </c>
      <c r="M8" s="65">
        <f t="shared" si="8"/>
        <v>252000</v>
      </c>
      <c r="N8" s="51">
        <f t="shared" si="9"/>
        <v>288400</v>
      </c>
      <c r="O8" s="66">
        <f t="shared" si="10"/>
        <v>0.1716666667</v>
      </c>
      <c r="P8" s="51">
        <f t="shared" si="14"/>
        <v>581700</v>
      </c>
      <c r="Q8" s="66">
        <f t="shared" si="11"/>
        <v>0.1267320261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8.0" customHeight="1">
      <c r="A9" s="10" t="s">
        <v>46</v>
      </c>
      <c r="B9" s="5"/>
      <c r="C9" s="47"/>
      <c r="D9" s="14"/>
      <c r="E9" s="12">
        <v>0.0</v>
      </c>
      <c r="F9" s="14">
        <f t="shared" si="3"/>
        <v>0</v>
      </c>
      <c r="G9" s="14">
        <f t="shared" si="4"/>
        <v>0</v>
      </c>
      <c r="H9" s="14" t="str">
        <f t="shared" si="5"/>
        <v>#DIV/0!</v>
      </c>
      <c r="I9" s="39" t="str">
        <f t="shared" si="6"/>
        <v>#DIV/0!</v>
      </c>
      <c r="J9" s="14">
        <f t="shared" si="12"/>
        <v>4590000</v>
      </c>
      <c r="K9" s="14">
        <f t="shared" si="13"/>
        <v>1270200</v>
      </c>
      <c r="L9" s="48">
        <f t="shared" si="7"/>
        <v>0.2767320261</v>
      </c>
      <c r="M9" s="65">
        <f t="shared" si="8"/>
        <v>0</v>
      </c>
      <c r="N9" s="51">
        <f t="shared" si="9"/>
        <v>0</v>
      </c>
      <c r="O9" s="66" t="str">
        <f t="shared" si="10"/>
        <v>#DIV/0!</v>
      </c>
      <c r="P9" s="51">
        <f t="shared" si="14"/>
        <v>581700</v>
      </c>
      <c r="Q9" s="66">
        <f t="shared" si="11"/>
        <v>0.1267320261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8.0" customHeight="1">
      <c r="A10" s="10" t="s">
        <v>47</v>
      </c>
      <c r="B10" s="5"/>
      <c r="C10" s="47"/>
      <c r="D10" s="14"/>
      <c r="E10" s="12">
        <v>0.0</v>
      </c>
      <c r="F10" s="14">
        <f t="shared" si="3"/>
        <v>0</v>
      </c>
      <c r="G10" s="14">
        <f t="shared" si="4"/>
        <v>0</v>
      </c>
      <c r="H10" s="14" t="str">
        <f t="shared" si="5"/>
        <v>#DIV/0!</v>
      </c>
      <c r="I10" s="39" t="str">
        <f t="shared" si="6"/>
        <v>#DIV/0!</v>
      </c>
      <c r="J10" s="14">
        <f t="shared" si="12"/>
        <v>4590000</v>
      </c>
      <c r="K10" s="14">
        <f t="shared" si="13"/>
        <v>1270200</v>
      </c>
      <c r="L10" s="48">
        <f t="shared" si="7"/>
        <v>0.2767320261</v>
      </c>
      <c r="M10" s="65">
        <f t="shared" si="8"/>
        <v>0</v>
      </c>
      <c r="N10" s="51">
        <f t="shared" si="9"/>
        <v>0</v>
      </c>
      <c r="O10" s="66" t="str">
        <f t="shared" si="10"/>
        <v>#DIV/0!</v>
      </c>
      <c r="P10" s="51">
        <f t="shared" si="14"/>
        <v>581700</v>
      </c>
      <c r="Q10" s="66">
        <f t="shared" si="11"/>
        <v>0.1267320261</v>
      </c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ht="18.0" customHeight="1">
      <c r="A11" s="10" t="s">
        <v>48</v>
      </c>
      <c r="B11" s="5"/>
      <c r="C11" s="47"/>
      <c r="D11" s="14"/>
      <c r="E11" s="12">
        <v>0.0</v>
      </c>
      <c r="F11" s="14">
        <f t="shared" si="3"/>
        <v>0</v>
      </c>
      <c r="G11" s="14">
        <f t="shared" si="4"/>
        <v>0</v>
      </c>
      <c r="H11" s="14" t="str">
        <f t="shared" si="5"/>
        <v>#DIV/0!</v>
      </c>
      <c r="I11" s="39" t="str">
        <f t="shared" si="6"/>
        <v>#DIV/0!</v>
      </c>
      <c r="J11" s="14">
        <f t="shared" si="12"/>
        <v>4590000</v>
      </c>
      <c r="K11" s="14">
        <f t="shared" si="13"/>
        <v>1270200</v>
      </c>
      <c r="L11" s="48">
        <f t="shared" si="7"/>
        <v>0.2767320261</v>
      </c>
      <c r="M11" s="65">
        <f t="shared" si="8"/>
        <v>0</v>
      </c>
      <c r="N11" s="51">
        <f t="shared" si="9"/>
        <v>0</v>
      </c>
      <c r="O11" s="66" t="str">
        <f t="shared" si="10"/>
        <v>#DIV/0!</v>
      </c>
      <c r="P11" s="51">
        <f t="shared" si="14"/>
        <v>581700</v>
      </c>
      <c r="Q11" s="66">
        <f t="shared" si="11"/>
        <v>0.1267320261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ht="18.0" customHeight="1">
      <c r="A12" s="10" t="s">
        <v>49</v>
      </c>
      <c r="B12" s="5">
        <v>2.0</v>
      </c>
      <c r="C12" s="47">
        <v>0.4</v>
      </c>
      <c r="D12" s="14">
        <f t="shared" ref="D12:D14" si="15">$B$1*B12*(1-C12)</f>
        <v>36000</v>
      </c>
      <c r="E12" s="12">
        <v>20.0</v>
      </c>
      <c r="F12" s="14">
        <f t="shared" si="3"/>
        <v>720000</v>
      </c>
      <c r="G12" s="14">
        <f t="shared" si="4"/>
        <v>141600</v>
      </c>
      <c r="H12" s="14">
        <f t="shared" si="5"/>
        <v>7080</v>
      </c>
      <c r="I12" s="39">
        <f t="shared" si="6"/>
        <v>0.1966666667</v>
      </c>
      <c r="J12" s="14">
        <f t="shared" si="12"/>
        <v>5310000</v>
      </c>
      <c r="K12" s="14">
        <f t="shared" si="13"/>
        <v>1411800</v>
      </c>
      <c r="L12" s="48">
        <f t="shared" si="7"/>
        <v>0.2658757062</v>
      </c>
      <c r="M12" s="65">
        <f t="shared" si="8"/>
        <v>108000</v>
      </c>
      <c r="N12" s="51">
        <f t="shared" si="9"/>
        <v>33600</v>
      </c>
      <c r="O12" s="66">
        <f t="shared" si="10"/>
        <v>0.04666666667</v>
      </c>
      <c r="P12" s="51">
        <f t="shared" si="14"/>
        <v>615300</v>
      </c>
      <c r="Q12" s="66">
        <f t="shared" si="11"/>
        <v>0.1158757062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ht="18.0" customHeight="1">
      <c r="A13" s="10" t="s">
        <v>50</v>
      </c>
      <c r="B13" s="5">
        <v>2.0</v>
      </c>
      <c r="C13" s="47">
        <v>0.35</v>
      </c>
      <c r="D13" s="14">
        <f t="shared" si="15"/>
        <v>39000</v>
      </c>
      <c r="E13" s="12">
        <v>40.0</v>
      </c>
      <c r="F13" s="14">
        <f t="shared" si="3"/>
        <v>1560000</v>
      </c>
      <c r="G13" s="14">
        <f t="shared" si="4"/>
        <v>376800</v>
      </c>
      <c r="H13" s="14">
        <f t="shared" si="5"/>
        <v>9420</v>
      </c>
      <c r="I13" s="39">
        <f t="shared" si="6"/>
        <v>0.2415384615</v>
      </c>
      <c r="J13" s="14">
        <f t="shared" si="12"/>
        <v>6870000</v>
      </c>
      <c r="K13" s="14">
        <f t="shared" si="13"/>
        <v>1788600</v>
      </c>
      <c r="L13" s="48">
        <f t="shared" si="7"/>
        <v>0.260349345</v>
      </c>
      <c r="M13" s="65">
        <f t="shared" si="8"/>
        <v>234000</v>
      </c>
      <c r="N13" s="51">
        <f t="shared" si="9"/>
        <v>142800</v>
      </c>
      <c r="O13" s="66">
        <f t="shared" si="10"/>
        <v>0.09153846154</v>
      </c>
      <c r="P13" s="51">
        <f t="shared" si="14"/>
        <v>758100</v>
      </c>
      <c r="Q13" s="66">
        <f t="shared" si="11"/>
        <v>0.110349345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ht="18.0" customHeight="1">
      <c r="A14" s="10" t="s">
        <v>51</v>
      </c>
      <c r="B14" s="5">
        <v>4.0</v>
      </c>
      <c r="C14" s="47">
        <v>0.4</v>
      </c>
      <c r="D14" s="14">
        <f t="shared" si="15"/>
        <v>72000</v>
      </c>
      <c r="E14" s="12">
        <v>10.0</v>
      </c>
      <c r="F14" s="14">
        <f t="shared" si="3"/>
        <v>720000</v>
      </c>
      <c r="G14" s="14">
        <f t="shared" si="4"/>
        <v>151600</v>
      </c>
      <c r="H14" s="14">
        <f t="shared" si="5"/>
        <v>15160</v>
      </c>
      <c r="I14" s="39">
        <f t="shared" si="6"/>
        <v>0.2105555556</v>
      </c>
      <c r="J14" s="14">
        <f t="shared" si="12"/>
        <v>7590000</v>
      </c>
      <c r="K14" s="14">
        <f t="shared" si="13"/>
        <v>1940200</v>
      </c>
      <c r="L14" s="48">
        <f t="shared" si="7"/>
        <v>0.2556258235</v>
      </c>
      <c r="M14" s="65">
        <f t="shared" si="8"/>
        <v>108000</v>
      </c>
      <c r="N14" s="51">
        <f t="shared" si="9"/>
        <v>43600</v>
      </c>
      <c r="O14" s="66">
        <f t="shared" si="10"/>
        <v>0.06055555556</v>
      </c>
      <c r="P14" s="51">
        <f t="shared" si="14"/>
        <v>801700</v>
      </c>
      <c r="Q14" s="66">
        <f t="shared" si="11"/>
        <v>0.1056258235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 ht="18.0" customHeight="1">
      <c r="A15" s="49" t="s">
        <v>52</v>
      </c>
      <c r="B15" s="50"/>
      <c r="C15" s="40"/>
      <c r="D15" s="51"/>
      <c r="E15" s="40">
        <f>SUM(E4:E14)</f>
        <v>280</v>
      </c>
      <c r="F15" s="40"/>
      <c r="G15" s="40"/>
      <c r="H15" s="40"/>
      <c r="I15" s="40"/>
      <c r="J15" s="67">
        <f t="shared" ref="J15:K15" si="16">J14</f>
        <v>7590000</v>
      </c>
      <c r="K15" s="67">
        <f t="shared" si="16"/>
        <v>1940200</v>
      </c>
      <c r="L15" s="48">
        <f t="shared" si="7"/>
        <v>0.2556258235</v>
      </c>
      <c r="M15" s="65">
        <f>SUM(M4:M14)</f>
        <v>1138500</v>
      </c>
      <c r="N15" s="68"/>
      <c r="O15" s="40"/>
      <c r="P15" s="51">
        <f t="shared" ref="P15:Q15" si="17">P14</f>
        <v>801700</v>
      </c>
      <c r="Q15" s="66">
        <f t="shared" si="17"/>
        <v>0.1056258235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ht="15.0" customHeight="1">
      <c r="A16" s="4"/>
      <c r="B16" s="21"/>
      <c r="C16" s="4"/>
      <c r="D16" s="2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ht="15.0" customHeight="1">
      <c r="A17" s="4"/>
      <c r="B17" s="21"/>
      <c r="C17" s="4"/>
      <c r="D17" s="2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22.5" customHeight="1">
      <c r="A18" s="4"/>
      <c r="B18" s="21"/>
      <c r="C18" s="4"/>
      <c r="D18" s="2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ht="22.5" customHeight="1">
      <c r="A19" s="4"/>
      <c r="B19" s="21"/>
      <c r="C19" s="4"/>
      <c r="D19" s="2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ht="22.5" customHeight="1">
      <c r="A20" s="4"/>
      <c r="B20" s="21"/>
      <c r="C20" s="4"/>
      <c r="D20" s="2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ht="22.5" customHeight="1">
      <c r="A21" s="4"/>
      <c r="B21" s="21"/>
      <c r="C21" s="4"/>
      <c r="D21" s="2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ht="22.5" customHeight="1">
      <c r="A22" s="4"/>
      <c r="B22" s="21"/>
      <c r="C22" s="4"/>
      <c r="D22" s="2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ht="22.5" customHeight="1">
      <c r="A23" s="4"/>
      <c r="B23" s="21"/>
      <c r="C23" s="4"/>
      <c r="D23" s="2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ht="22.5" customHeight="1">
      <c r="A24" s="4"/>
      <c r="B24" s="21"/>
      <c r="C24" s="4"/>
      <c r="D24" s="2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ht="22.5" customHeight="1">
      <c r="A25" s="4"/>
      <c r="B25" s="21"/>
      <c r="C25" s="4"/>
      <c r="D25" s="2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ht="22.5" customHeight="1">
      <c r="A26" s="4"/>
      <c r="B26" s="21"/>
      <c r="C26" s="4"/>
      <c r="D26" s="2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ht="22.5" customHeight="1">
      <c r="A27" s="4"/>
      <c r="B27" s="21"/>
      <c r="C27" s="4"/>
      <c r="D27" s="2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22.5" customHeight="1">
      <c r="A28" s="4"/>
      <c r="B28" s="21"/>
      <c r="C28" s="4"/>
      <c r="D28" s="2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ht="22.5" customHeight="1">
      <c r="A29" s="4"/>
      <c r="B29" s="21"/>
      <c r="C29" s="4"/>
      <c r="D29" s="2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ht="22.5" customHeight="1">
      <c r="A30" s="4"/>
      <c r="B30" s="21"/>
      <c r="C30" s="4"/>
      <c r="D30" s="2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ht="22.5" customHeight="1">
      <c r="A31" s="4"/>
      <c r="B31" s="21"/>
      <c r="C31" s="4"/>
      <c r="D31" s="2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ht="22.5" customHeight="1">
      <c r="A32" s="4"/>
      <c r="B32" s="21"/>
      <c r="C32" s="4"/>
      <c r="D32" s="2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22.5" customHeight="1">
      <c r="A33" s="4"/>
      <c r="B33" s="21"/>
      <c r="C33" s="4"/>
      <c r="D33" s="2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22.5" customHeight="1">
      <c r="A34" s="4"/>
      <c r="B34" s="21"/>
      <c r="C34" s="4"/>
      <c r="D34" s="2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ht="22.5" customHeight="1">
      <c r="A35" s="4"/>
      <c r="B35" s="21"/>
      <c r="C35" s="4"/>
      <c r="D35" s="2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ht="22.5" customHeight="1">
      <c r="A36" s="4"/>
      <c r="B36" s="21"/>
      <c r="C36" s="4"/>
      <c r="D36" s="2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ht="22.5" customHeight="1">
      <c r="A37" s="4"/>
      <c r="B37" s="21"/>
      <c r="C37" s="4"/>
      <c r="D37" s="2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ht="22.5" customHeight="1">
      <c r="A38" s="4"/>
      <c r="B38" s="21"/>
      <c r="C38" s="4"/>
      <c r="D38" s="2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ht="22.5" customHeight="1">
      <c r="A39" s="4"/>
      <c r="B39" s="21"/>
      <c r="C39" s="4"/>
      <c r="D39" s="2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ht="22.5" customHeight="1">
      <c r="A40" s="4"/>
      <c r="B40" s="21"/>
      <c r="C40" s="4"/>
      <c r="D40" s="2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ht="22.5" customHeight="1">
      <c r="A41" s="4"/>
      <c r="B41" s="21"/>
      <c r="C41" s="4"/>
      <c r="D41" s="2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ht="22.5" customHeight="1">
      <c r="A42" s="4"/>
      <c r="B42" s="21"/>
      <c r="C42" s="4"/>
      <c r="D42" s="2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ht="22.5" customHeight="1">
      <c r="A43" s="4"/>
      <c r="B43" s="21"/>
      <c r="C43" s="4"/>
      <c r="D43" s="2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ht="22.5" customHeight="1">
      <c r="A44" s="4"/>
      <c r="B44" s="21"/>
      <c r="C44" s="4"/>
      <c r="D44" s="2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ht="22.5" customHeight="1">
      <c r="A45" s="4"/>
      <c r="B45" s="21"/>
      <c r="C45" s="4"/>
      <c r="D45" s="2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ht="22.5" customHeight="1">
      <c r="A46" s="4"/>
      <c r="B46" s="21"/>
      <c r="C46" s="4"/>
      <c r="D46" s="2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ht="22.5" customHeight="1">
      <c r="A47" s="4"/>
      <c r="B47" s="21"/>
      <c r="C47" s="4"/>
      <c r="D47" s="2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ht="22.5" customHeight="1">
      <c r="A48" s="4"/>
      <c r="B48" s="21"/>
      <c r="C48" s="4"/>
      <c r="D48" s="2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ht="22.5" customHeight="1">
      <c r="A49" s="4"/>
      <c r="B49" s="21"/>
      <c r="C49" s="4"/>
      <c r="D49" s="2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ht="22.5" customHeight="1">
      <c r="A50" s="4"/>
      <c r="B50" s="21"/>
      <c r="C50" s="4"/>
      <c r="D50" s="2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ht="22.5" customHeight="1">
      <c r="A51" s="4"/>
      <c r="B51" s="21"/>
      <c r="C51" s="4"/>
      <c r="D51" s="2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ht="22.5" customHeight="1">
      <c r="A52" s="4"/>
      <c r="B52" s="21"/>
      <c r="C52" s="4"/>
      <c r="D52" s="2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ht="22.5" customHeight="1">
      <c r="A53" s="4"/>
      <c r="B53" s="21"/>
      <c r="C53" s="4"/>
      <c r="D53" s="2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ht="22.5" customHeight="1">
      <c r="A54" s="4"/>
      <c r="B54" s="21"/>
      <c r="C54" s="4"/>
      <c r="D54" s="2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ht="22.5" customHeight="1">
      <c r="A55" s="4"/>
      <c r="B55" s="21"/>
      <c r="C55" s="4"/>
      <c r="D55" s="2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ht="22.5" customHeight="1">
      <c r="A56" s="4"/>
      <c r="B56" s="21"/>
      <c r="C56" s="4"/>
      <c r="D56" s="2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ht="22.5" customHeight="1">
      <c r="A57" s="4"/>
      <c r="B57" s="21"/>
      <c r="C57" s="4"/>
      <c r="D57" s="2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ht="22.5" customHeight="1">
      <c r="A58" s="4"/>
      <c r="B58" s="21"/>
      <c r="C58" s="4"/>
      <c r="D58" s="2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ht="22.5" customHeight="1">
      <c r="A59" s="4"/>
      <c r="B59" s="21"/>
      <c r="C59" s="4"/>
      <c r="D59" s="2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ht="22.5" customHeight="1">
      <c r="A60" s="4"/>
      <c r="B60" s="21"/>
      <c r="C60" s="4"/>
      <c r="D60" s="2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ht="22.5" customHeight="1">
      <c r="A61" s="4"/>
      <c r="B61" s="21"/>
      <c r="C61" s="4"/>
      <c r="D61" s="2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ht="22.5" customHeight="1">
      <c r="A62" s="4"/>
      <c r="B62" s="21"/>
      <c r="C62" s="4"/>
      <c r="D62" s="2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ht="22.5" customHeight="1">
      <c r="A63" s="4"/>
      <c r="B63" s="21"/>
      <c r="C63" s="4"/>
      <c r="D63" s="2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ht="22.5" customHeight="1">
      <c r="A64" s="4"/>
      <c r="B64" s="21"/>
      <c r="C64" s="4"/>
      <c r="D64" s="2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ht="22.5" customHeight="1">
      <c r="A65" s="4"/>
      <c r="B65" s="21"/>
      <c r="C65" s="4"/>
      <c r="D65" s="2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ht="22.5" customHeight="1">
      <c r="A66" s="4"/>
      <c r="B66" s="21"/>
      <c r="C66" s="4"/>
      <c r="D66" s="2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ht="22.5" customHeight="1">
      <c r="A67" s="4"/>
      <c r="B67" s="21"/>
      <c r="C67" s="4"/>
      <c r="D67" s="2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ht="22.5" customHeight="1">
      <c r="A68" s="4"/>
      <c r="B68" s="21"/>
      <c r="C68" s="4"/>
      <c r="D68" s="2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ht="22.5" customHeight="1">
      <c r="A69" s="4"/>
      <c r="B69" s="21"/>
      <c r="C69" s="4"/>
      <c r="D69" s="2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ht="22.5" customHeight="1">
      <c r="A70" s="4"/>
      <c r="B70" s="21"/>
      <c r="C70" s="4"/>
      <c r="D70" s="2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ht="22.5" customHeight="1">
      <c r="A71" s="4"/>
      <c r="B71" s="21"/>
      <c r="C71" s="4"/>
      <c r="D71" s="2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ht="22.5" customHeight="1">
      <c r="A72" s="4"/>
      <c r="B72" s="21"/>
      <c r="C72" s="4"/>
      <c r="D72" s="2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ht="22.5" customHeight="1">
      <c r="A73" s="4"/>
      <c r="B73" s="21"/>
      <c r="C73" s="4"/>
      <c r="D73" s="2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ht="22.5" customHeight="1">
      <c r="A74" s="4"/>
      <c r="B74" s="21"/>
      <c r="C74" s="4"/>
      <c r="D74" s="2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ht="22.5" customHeight="1">
      <c r="A75" s="4"/>
      <c r="B75" s="21"/>
      <c r="C75" s="4"/>
      <c r="D75" s="2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ht="22.5" customHeight="1">
      <c r="A76" s="4"/>
      <c r="B76" s="21"/>
      <c r="C76" s="4"/>
      <c r="D76" s="2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ht="22.5" customHeight="1">
      <c r="A77" s="4"/>
      <c r="B77" s="21"/>
      <c r="C77" s="4"/>
      <c r="D77" s="2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ht="22.5" customHeight="1">
      <c r="A78" s="4"/>
      <c r="B78" s="21"/>
      <c r="C78" s="4"/>
      <c r="D78" s="2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ht="22.5" customHeight="1">
      <c r="A79" s="4"/>
      <c r="B79" s="21"/>
      <c r="C79" s="4"/>
      <c r="D79" s="2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ht="22.5" customHeight="1">
      <c r="A80" s="4"/>
      <c r="B80" s="21"/>
      <c r="C80" s="4"/>
      <c r="D80" s="2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ht="22.5" customHeight="1">
      <c r="A81" s="4"/>
      <c r="B81" s="21"/>
      <c r="C81" s="4"/>
      <c r="D81" s="2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ht="22.5" customHeight="1">
      <c r="A82" s="4"/>
      <c r="B82" s="21"/>
      <c r="C82" s="4"/>
      <c r="D82" s="2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ht="22.5" customHeight="1">
      <c r="A83" s="4"/>
      <c r="B83" s="21"/>
      <c r="C83" s="4"/>
      <c r="D83" s="2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ht="22.5" customHeight="1">
      <c r="A84" s="4"/>
      <c r="B84" s="21"/>
      <c r="C84" s="4"/>
      <c r="D84" s="2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ht="22.5" customHeight="1">
      <c r="A85" s="4"/>
      <c r="B85" s="21"/>
      <c r="C85" s="4"/>
      <c r="D85" s="2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ht="22.5" customHeight="1">
      <c r="A86" s="4"/>
      <c r="B86" s="21"/>
      <c r="C86" s="4"/>
      <c r="D86" s="2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ht="22.5" customHeight="1">
      <c r="A87" s="4"/>
      <c r="B87" s="21"/>
      <c r="C87" s="4"/>
      <c r="D87" s="2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ht="22.5" customHeight="1">
      <c r="A88" s="4"/>
      <c r="B88" s="21"/>
      <c r="C88" s="4"/>
      <c r="D88" s="2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ht="22.5" customHeight="1">
      <c r="A89" s="4"/>
      <c r="B89" s="21"/>
      <c r="C89" s="4"/>
      <c r="D89" s="2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ht="22.5" customHeight="1">
      <c r="A90" s="4"/>
      <c r="B90" s="21"/>
      <c r="C90" s="4"/>
      <c r="D90" s="2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ht="22.5" customHeight="1">
      <c r="A91" s="4"/>
      <c r="B91" s="21"/>
      <c r="C91" s="4"/>
      <c r="D91" s="2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ht="22.5" customHeight="1">
      <c r="A92" s="4"/>
      <c r="B92" s="21"/>
      <c r="C92" s="4"/>
      <c r="D92" s="2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ht="22.5" customHeight="1">
      <c r="A93" s="4"/>
      <c r="B93" s="21"/>
      <c r="C93" s="4"/>
      <c r="D93" s="2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ht="22.5" customHeight="1">
      <c r="A94" s="4"/>
      <c r="B94" s="21"/>
      <c r="C94" s="4"/>
      <c r="D94" s="2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ht="22.5" customHeight="1">
      <c r="A95" s="4"/>
      <c r="B95" s="21"/>
      <c r="C95" s="4"/>
      <c r="D95" s="2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ht="22.5" customHeight="1">
      <c r="A96" s="4"/>
      <c r="B96" s="21"/>
      <c r="C96" s="4"/>
      <c r="D96" s="2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ht="22.5" customHeight="1">
      <c r="A97" s="4"/>
      <c r="B97" s="21"/>
      <c r="C97" s="4"/>
      <c r="D97" s="2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ht="22.5" customHeight="1">
      <c r="A98" s="4"/>
      <c r="B98" s="21"/>
      <c r="C98" s="4"/>
      <c r="D98" s="2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ht="22.5" customHeight="1">
      <c r="A99" s="4"/>
      <c r="B99" s="21"/>
      <c r="C99" s="4"/>
      <c r="D99" s="2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ht="22.5" customHeight="1">
      <c r="A100" s="4"/>
      <c r="B100" s="21"/>
      <c r="C100" s="4"/>
      <c r="D100" s="2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ht="22.5" customHeight="1">
      <c r="A101" s="4"/>
      <c r="B101" s="21"/>
      <c r="C101" s="4"/>
      <c r="D101" s="2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ht="22.5" customHeight="1">
      <c r="A102" s="4"/>
      <c r="B102" s="21"/>
      <c r="C102" s="4"/>
      <c r="D102" s="2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ht="22.5" customHeight="1">
      <c r="A103" s="4"/>
      <c r="B103" s="21"/>
      <c r="C103" s="4"/>
      <c r="D103" s="2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ht="22.5" customHeight="1">
      <c r="A104" s="4"/>
      <c r="B104" s="21"/>
      <c r="C104" s="4"/>
      <c r="D104" s="2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ht="22.5" customHeight="1">
      <c r="A105" s="4"/>
      <c r="B105" s="21"/>
      <c r="C105" s="4"/>
      <c r="D105" s="2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ht="22.5" customHeight="1">
      <c r="A106" s="4"/>
      <c r="B106" s="21"/>
      <c r="C106" s="4"/>
      <c r="D106" s="2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ht="22.5" customHeight="1">
      <c r="A107" s="4"/>
      <c r="B107" s="21"/>
      <c r="C107" s="4"/>
      <c r="D107" s="2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ht="22.5" customHeight="1">
      <c r="A108" s="4"/>
      <c r="B108" s="21"/>
      <c r="C108" s="4"/>
      <c r="D108" s="2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ht="22.5" customHeight="1">
      <c r="A109" s="4"/>
      <c r="B109" s="21"/>
      <c r="C109" s="4"/>
      <c r="D109" s="2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ht="22.5" customHeight="1">
      <c r="A110" s="4"/>
      <c r="B110" s="21"/>
      <c r="C110" s="4"/>
      <c r="D110" s="2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ht="22.5" customHeight="1">
      <c r="A111" s="4"/>
      <c r="B111" s="21"/>
      <c r="C111" s="4"/>
      <c r="D111" s="2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ht="22.5" customHeight="1">
      <c r="A112" s="4"/>
      <c r="B112" s="21"/>
      <c r="C112" s="4"/>
      <c r="D112" s="2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ht="22.5" customHeight="1">
      <c r="A113" s="4"/>
      <c r="B113" s="21"/>
      <c r="C113" s="4"/>
      <c r="D113" s="2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ht="22.5" customHeight="1">
      <c r="A114" s="4"/>
      <c r="B114" s="21"/>
      <c r="C114" s="4"/>
      <c r="D114" s="2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ht="22.5" customHeight="1">
      <c r="A115" s="4"/>
      <c r="B115" s="21"/>
      <c r="C115" s="4"/>
      <c r="D115" s="2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ht="22.5" customHeight="1">
      <c r="A116" s="4"/>
      <c r="B116" s="21"/>
      <c r="C116" s="4"/>
      <c r="D116" s="2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ht="22.5" customHeight="1">
      <c r="A117" s="4"/>
      <c r="B117" s="21"/>
      <c r="C117" s="4"/>
      <c r="D117" s="2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ht="22.5" customHeight="1">
      <c r="A118" s="4"/>
      <c r="B118" s="21"/>
      <c r="C118" s="4"/>
      <c r="D118" s="2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ht="22.5" customHeight="1">
      <c r="A119" s="4"/>
      <c r="B119" s="21"/>
      <c r="C119" s="4"/>
      <c r="D119" s="2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ht="22.5" customHeight="1">
      <c r="A120" s="4"/>
      <c r="B120" s="21"/>
      <c r="C120" s="4"/>
      <c r="D120" s="2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ht="22.5" customHeight="1">
      <c r="A121" s="4"/>
      <c r="B121" s="21"/>
      <c r="C121" s="4"/>
      <c r="D121" s="2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ht="22.5" customHeight="1">
      <c r="A122" s="4"/>
      <c r="B122" s="21"/>
      <c r="C122" s="4"/>
      <c r="D122" s="2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ht="22.5" customHeight="1">
      <c r="A123" s="4"/>
      <c r="B123" s="21"/>
      <c r="C123" s="4"/>
      <c r="D123" s="2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ht="22.5" customHeight="1">
      <c r="A124" s="4"/>
      <c r="B124" s="21"/>
      <c r="C124" s="4"/>
      <c r="D124" s="2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ht="22.5" customHeight="1">
      <c r="A125" s="4"/>
      <c r="B125" s="21"/>
      <c r="C125" s="4"/>
      <c r="D125" s="2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ht="22.5" customHeight="1">
      <c r="A126" s="4"/>
      <c r="B126" s="21"/>
      <c r="C126" s="4"/>
      <c r="D126" s="2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ht="22.5" customHeight="1">
      <c r="A127" s="4"/>
      <c r="B127" s="21"/>
      <c r="C127" s="4"/>
      <c r="D127" s="2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ht="22.5" customHeight="1">
      <c r="A128" s="4"/>
      <c r="B128" s="21"/>
      <c r="C128" s="4"/>
      <c r="D128" s="2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ht="22.5" customHeight="1">
      <c r="A129" s="4"/>
      <c r="B129" s="21"/>
      <c r="C129" s="4"/>
      <c r="D129" s="2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ht="22.5" customHeight="1">
      <c r="A130" s="4"/>
      <c r="B130" s="21"/>
      <c r="C130" s="4"/>
      <c r="D130" s="2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ht="22.5" customHeight="1">
      <c r="A131" s="4"/>
      <c r="B131" s="21"/>
      <c r="C131" s="4"/>
      <c r="D131" s="2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ht="22.5" customHeight="1">
      <c r="A132" s="4"/>
      <c r="B132" s="21"/>
      <c r="C132" s="4"/>
      <c r="D132" s="2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ht="22.5" customHeight="1">
      <c r="A133" s="4"/>
      <c r="B133" s="21"/>
      <c r="C133" s="4"/>
      <c r="D133" s="2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ht="22.5" customHeight="1">
      <c r="A134" s="4"/>
      <c r="B134" s="21"/>
      <c r="C134" s="4"/>
      <c r="D134" s="2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ht="22.5" customHeight="1">
      <c r="A135" s="4"/>
      <c r="B135" s="21"/>
      <c r="C135" s="4"/>
      <c r="D135" s="2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ht="22.5" customHeight="1">
      <c r="A136" s="4"/>
      <c r="B136" s="21"/>
      <c r="C136" s="4"/>
      <c r="D136" s="2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ht="22.5" customHeight="1">
      <c r="A137" s="4"/>
      <c r="B137" s="21"/>
      <c r="C137" s="4"/>
      <c r="D137" s="2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ht="22.5" customHeight="1">
      <c r="A138" s="4"/>
      <c r="B138" s="21"/>
      <c r="C138" s="4"/>
      <c r="D138" s="2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ht="22.5" customHeight="1">
      <c r="A139" s="4"/>
      <c r="B139" s="21"/>
      <c r="C139" s="4"/>
      <c r="D139" s="2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ht="22.5" customHeight="1">
      <c r="A140" s="4"/>
      <c r="B140" s="21"/>
      <c r="C140" s="4"/>
      <c r="D140" s="2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22.5" customHeight="1">
      <c r="A141" s="4"/>
      <c r="B141" s="21"/>
      <c r="C141" s="4"/>
      <c r="D141" s="2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22.5" customHeight="1">
      <c r="A142" s="4"/>
      <c r="B142" s="21"/>
      <c r="C142" s="4"/>
      <c r="D142" s="2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22.5" customHeight="1">
      <c r="A143" s="4"/>
      <c r="B143" s="21"/>
      <c r="C143" s="4"/>
      <c r="D143" s="2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22.5" customHeight="1">
      <c r="A144" s="4"/>
      <c r="B144" s="21"/>
      <c r="C144" s="4"/>
      <c r="D144" s="2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22.5" customHeight="1">
      <c r="A145" s="4"/>
      <c r="B145" s="21"/>
      <c r="C145" s="4"/>
      <c r="D145" s="2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ht="22.5" customHeight="1">
      <c r="A146" s="4"/>
      <c r="B146" s="21"/>
      <c r="C146" s="4"/>
      <c r="D146" s="2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ht="22.5" customHeight="1">
      <c r="A147" s="4"/>
      <c r="B147" s="21"/>
      <c r="C147" s="4"/>
      <c r="D147" s="2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ht="22.5" customHeight="1">
      <c r="A148" s="4"/>
      <c r="B148" s="21"/>
      <c r="C148" s="4"/>
      <c r="D148" s="2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ht="22.5" customHeight="1">
      <c r="A149" s="4"/>
      <c r="B149" s="21"/>
      <c r="C149" s="4"/>
      <c r="D149" s="2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ht="22.5" customHeight="1">
      <c r="A150" s="4"/>
      <c r="B150" s="21"/>
      <c r="C150" s="4"/>
      <c r="D150" s="2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ht="22.5" customHeight="1">
      <c r="A151" s="4"/>
      <c r="B151" s="21"/>
      <c r="C151" s="4"/>
      <c r="D151" s="2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ht="22.5" customHeight="1">
      <c r="A152" s="4"/>
      <c r="B152" s="21"/>
      <c r="C152" s="4"/>
      <c r="D152" s="2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ht="22.5" customHeight="1">
      <c r="A153" s="4"/>
      <c r="B153" s="21"/>
      <c r="C153" s="4"/>
      <c r="D153" s="2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ht="22.5" customHeight="1">
      <c r="A154" s="4"/>
      <c r="B154" s="21"/>
      <c r="C154" s="4"/>
      <c r="D154" s="2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ht="22.5" customHeight="1">
      <c r="A155" s="4"/>
      <c r="B155" s="21"/>
      <c r="C155" s="4"/>
      <c r="D155" s="2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ht="22.5" customHeight="1">
      <c r="A156" s="4"/>
      <c r="B156" s="21"/>
      <c r="C156" s="4"/>
      <c r="D156" s="2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ht="22.5" customHeight="1">
      <c r="A157" s="4"/>
      <c r="B157" s="21"/>
      <c r="C157" s="4"/>
      <c r="D157" s="2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ht="22.5" customHeight="1">
      <c r="A158" s="4"/>
      <c r="B158" s="21"/>
      <c r="C158" s="4"/>
      <c r="D158" s="2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22.5" customHeight="1">
      <c r="A159" s="4"/>
      <c r="B159" s="21"/>
      <c r="C159" s="4"/>
      <c r="D159" s="2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22.5" customHeight="1">
      <c r="A160" s="4"/>
      <c r="B160" s="21"/>
      <c r="C160" s="4"/>
      <c r="D160" s="2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22.5" customHeight="1">
      <c r="A161" s="4"/>
      <c r="B161" s="21"/>
      <c r="C161" s="4"/>
      <c r="D161" s="2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22.5" customHeight="1">
      <c r="A162" s="4"/>
      <c r="B162" s="21"/>
      <c r="C162" s="4"/>
      <c r="D162" s="2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22.5" customHeight="1">
      <c r="A163" s="4"/>
      <c r="B163" s="21"/>
      <c r="C163" s="4"/>
      <c r="D163" s="2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22.5" customHeight="1">
      <c r="A164" s="4"/>
      <c r="B164" s="21"/>
      <c r="C164" s="4"/>
      <c r="D164" s="2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22.5" customHeight="1">
      <c r="A165" s="4"/>
      <c r="B165" s="21"/>
      <c r="C165" s="4"/>
      <c r="D165" s="2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22.5" customHeight="1">
      <c r="A166" s="4"/>
      <c r="B166" s="21"/>
      <c r="C166" s="4"/>
      <c r="D166" s="2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22.5" customHeight="1">
      <c r="A167" s="4"/>
      <c r="B167" s="21"/>
      <c r="C167" s="4"/>
      <c r="D167" s="2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22.5" customHeight="1">
      <c r="A168" s="4"/>
      <c r="B168" s="21"/>
      <c r="C168" s="4"/>
      <c r="D168" s="2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22.5" customHeight="1">
      <c r="A169" s="4"/>
      <c r="B169" s="21"/>
      <c r="C169" s="4"/>
      <c r="D169" s="2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22.5" customHeight="1">
      <c r="A170" s="4"/>
      <c r="B170" s="21"/>
      <c r="C170" s="4"/>
      <c r="D170" s="2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22.5" customHeight="1">
      <c r="A171" s="4"/>
      <c r="B171" s="21"/>
      <c r="C171" s="4"/>
      <c r="D171" s="2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22.5" customHeight="1">
      <c r="A172" s="4"/>
      <c r="B172" s="21"/>
      <c r="C172" s="4"/>
      <c r="D172" s="2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22.5" customHeight="1">
      <c r="A173" s="4"/>
      <c r="B173" s="21"/>
      <c r="C173" s="4"/>
      <c r="D173" s="2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22.5" customHeight="1">
      <c r="A174" s="4"/>
      <c r="B174" s="21"/>
      <c r="C174" s="4"/>
      <c r="D174" s="2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22.5" customHeight="1">
      <c r="A175" s="4"/>
      <c r="B175" s="21"/>
      <c r="C175" s="4"/>
      <c r="D175" s="2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22.5" customHeight="1">
      <c r="A176" s="4"/>
      <c r="B176" s="21"/>
      <c r="C176" s="4"/>
      <c r="D176" s="2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22.5" customHeight="1">
      <c r="A177" s="4"/>
      <c r="B177" s="21"/>
      <c r="C177" s="4"/>
      <c r="D177" s="2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22.5" customHeight="1">
      <c r="A178" s="4"/>
      <c r="B178" s="21"/>
      <c r="C178" s="4"/>
      <c r="D178" s="2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22.5" customHeight="1">
      <c r="A179" s="4"/>
      <c r="B179" s="21"/>
      <c r="C179" s="4"/>
      <c r="D179" s="2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22.5" customHeight="1">
      <c r="A180" s="4"/>
      <c r="B180" s="21"/>
      <c r="C180" s="4"/>
      <c r="D180" s="2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22.5" customHeight="1">
      <c r="A181" s="4"/>
      <c r="B181" s="21"/>
      <c r="C181" s="4"/>
      <c r="D181" s="2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22.5" customHeight="1">
      <c r="A182" s="4"/>
      <c r="B182" s="21"/>
      <c r="C182" s="4"/>
      <c r="D182" s="2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22.5" customHeight="1">
      <c r="A183" s="4"/>
      <c r="B183" s="21"/>
      <c r="C183" s="4"/>
      <c r="D183" s="2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22.5" customHeight="1">
      <c r="A184" s="4"/>
      <c r="B184" s="21"/>
      <c r="C184" s="4"/>
      <c r="D184" s="2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22.5" customHeight="1">
      <c r="A185" s="4"/>
      <c r="B185" s="21"/>
      <c r="C185" s="4"/>
      <c r="D185" s="2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22.5" customHeight="1">
      <c r="A186" s="4"/>
      <c r="B186" s="21"/>
      <c r="C186" s="4"/>
      <c r="D186" s="2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22.5" customHeight="1">
      <c r="A187" s="4"/>
      <c r="B187" s="21"/>
      <c r="C187" s="4"/>
      <c r="D187" s="2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22.5" customHeight="1">
      <c r="A188" s="4"/>
      <c r="B188" s="21"/>
      <c r="C188" s="4"/>
      <c r="D188" s="2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22.5" customHeight="1">
      <c r="A189" s="4"/>
      <c r="B189" s="21"/>
      <c r="C189" s="4"/>
      <c r="D189" s="2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22.5" customHeight="1">
      <c r="A190" s="4"/>
      <c r="B190" s="21"/>
      <c r="C190" s="4"/>
      <c r="D190" s="2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22.5" customHeight="1">
      <c r="A191" s="4"/>
      <c r="B191" s="21"/>
      <c r="C191" s="4"/>
      <c r="D191" s="2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22.5" customHeight="1">
      <c r="A192" s="4"/>
      <c r="B192" s="21"/>
      <c r="C192" s="4"/>
      <c r="D192" s="2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22.5" customHeight="1">
      <c r="A193" s="4"/>
      <c r="B193" s="21"/>
      <c r="C193" s="4"/>
      <c r="D193" s="2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22.5" customHeight="1">
      <c r="A194" s="4"/>
      <c r="B194" s="21"/>
      <c r="C194" s="4"/>
      <c r="D194" s="2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22.5" customHeight="1">
      <c r="A195" s="4"/>
      <c r="B195" s="21"/>
      <c r="C195" s="4"/>
      <c r="D195" s="2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22.5" customHeight="1">
      <c r="A196" s="4"/>
      <c r="B196" s="21"/>
      <c r="C196" s="4"/>
      <c r="D196" s="2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22.5" customHeight="1">
      <c r="A197" s="4"/>
      <c r="B197" s="21"/>
      <c r="C197" s="4"/>
      <c r="D197" s="2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22.5" customHeight="1">
      <c r="A198" s="4"/>
      <c r="B198" s="21"/>
      <c r="C198" s="4"/>
      <c r="D198" s="2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22.5" customHeight="1">
      <c r="A199" s="4"/>
      <c r="B199" s="21"/>
      <c r="C199" s="4"/>
      <c r="D199" s="2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22.5" customHeight="1">
      <c r="A200" s="4"/>
      <c r="B200" s="21"/>
      <c r="C200" s="4"/>
      <c r="D200" s="2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22.5" customHeight="1">
      <c r="A201" s="4"/>
      <c r="B201" s="21"/>
      <c r="C201" s="4"/>
      <c r="D201" s="2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22.5" customHeight="1">
      <c r="A202" s="4"/>
      <c r="B202" s="21"/>
      <c r="C202" s="4"/>
      <c r="D202" s="2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22.5" customHeight="1">
      <c r="A203" s="4"/>
      <c r="B203" s="21"/>
      <c r="C203" s="4"/>
      <c r="D203" s="2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22.5" customHeight="1">
      <c r="A204" s="4"/>
      <c r="B204" s="21"/>
      <c r="C204" s="4"/>
      <c r="D204" s="2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22.5" customHeight="1">
      <c r="A205" s="4"/>
      <c r="B205" s="21"/>
      <c r="C205" s="4"/>
      <c r="D205" s="2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22.5" customHeight="1">
      <c r="A206" s="4"/>
      <c r="B206" s="21"/>
      <c r="C206" s="4"/>
      <c r="D206" s="2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22.5" customHeight="1">
      <c r="A207" s="4"/>
      <c r="B207" s="21"/>
      <c r="C207" s="4"/>
      <c r="D207" s="2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22.5" customHeight="1">
      <c r="A208" s="4"/>
      <c r="B208" s="21"/>
      <c r="C208" s="4"/>
      <c r="D208" s="2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22.5" customHeight="1">
      <c r="A209" s="4"/>
      <c r="B209" s="21"/>
      <c r="C209" s="4"/>
      <c r="D209" s="2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22.5" customHeight="1">
      <c r="A210" s="4"/>
      <c r="B210" s="21"/>
      <c r="C210" s="4"/>
      <c r="D210" s="2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22.5" customHeight="1">
      <c r="A211" s="4"/>
      <c r="B211" s="21"/>
      <c r="C211" s="4"/>
      <c r="D211" s="2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22.5" customHeight="1">
      <c r="A212" s="4"/>
      <c r="B212" s="21"/>
      <c r="C212" s="4"/>
      <c r="D212" s="2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22.5" customHeight="1">
      <c r="A213" s="4"/>
      <c r="B213" s="21"/>
      <c r="C213" s="4"/>
      <c r="D213" s="2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22.5" customHeight="1">
      <c r="A214" s="4"/>
      <c r="B214" s="21"/>
      <c r="C214" s="4"/>
      <c r="D214" s="2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22.5" customHeight="1">
      <c r="A215" s="4"/>
      <c r="B215" s="21"/>
      <c r="C215" s="4"/>
      <c r="D215" s="2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22.5" customHeight="1">
      <c r="A216" s="4"/>
      <c r="B216" s="21"/>
      <c r="C216" s="4"/>
      <c r="D216" s="2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22.5" customHeight="1">
      <c r="A217" s="4"/>
      <c r="B217" s="21"/>
      <c r="C217" s="4"/>
      <c r="D217" s="2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22.5" customHeight="1">
      <c r="A218" s="4"/>
      <c r="B218" s="21"/>
      <c r="C218" s="4"/>
      <c r="D218" s="2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22.5" customHeight="1">
      <c r="A219" s="4"/>
      <c r="B219" s="21"/>
      <c r="C219" s="4"/>
      <c r="D219" s="2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22.5" customHeight="1">
      <c r="A220" s="4"/>
      <c r="B220" s="21"/>
      <c r="C220" s="4"/>
      <c r="D220" s="2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22.5" customHeight="1">
      <c r="A221" s="4"/>
      <c r="B221" s="21"/>
      <c r="C221" s="4"/>
      <c r="D221" s="2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22.5" customHeight="1">
      <c r="A222" s="4"/>
      <c r="B222" s="21"/>
      <c r="C222" s="4"/>
      <c r="D222" s="2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22.5" customHeight="1">
      <c r="A223" s="4"/>
      <c r="B223" s="21"/>
      <c r="C223" s="4"/>
      <c r="D223" s="2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22.5" customHeight="1">
      <c r="A224" s="4"/>
      <c r="B224" s="21"/>
      <c r="C224" s="4"/>
      <c r="D224" s="2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22.5" customHeight="1">
      <c r="A225" s="4"/>
      <c r="B225" s="21"/>
      <c r="C225" s="4"/>
      <c r="D225" s="2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22.5" customHeight="1">
      <c r="A226" s="4"/>
      <c r="B226" s="21"/>
      <c r="C226" s="4"/>
      <c r="D226" s="2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22.5" customHeight="1">
      <c r="A227" s="4"/>
      <c r="B227" s="21"/>
      <c r="C227" s="4"/>
      <c r="D227" s="2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22.5" customHeight="1">
      <c r="A228" s="4"/>
      <c r="B228" s="21"/>
      <c r="C228" s="4"/>
      <c r="D228" s="2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22.5" customHeight="1">
      <c r="A229" s="4"/>
      <c r="B229" s="21"/>
      <c r="C229" s="4"/>
      <c r="D229" s="2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22.5" customHeight="1">
      <c r="A230" s="4"/>
      <c r="B230" s="21"/>
      <c r="C230" s="4"/>
      <c r="D230" s="2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22.5" customHeight="1">
      <c r="A231" s="4"/>
      <c r="B231" s="21"/>
      <c r="C231" s="4"/>
      <c r="D231" s="2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22.5" customHeight="1">
      <c r="A232" s="4"/>
      <c r="B232" s="21"/>
      <c r="C232" s="4"/>
      <c r="D232" s="2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22.5" customHeight="1">
      <c r="A233" s="4"/>
      <c r="B233" s="21"/>
      <c r="C233" s="4"/>
      <c r="D233" s="2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22.5" customHeight="1">
      <c r="A234" s="4"/>
      <c r="B234" s="21"/>
      <c r="C234" s="4"/>
      <c r="D234" s="2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22.5" customHeight="1">
      <c r="A235" s="4"/>
      <c r="B235" s="21"/>
      <c r="C235" s="4"/>
      <c r="D235" s="2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22.5" customHeight="1">
      <c r="A236" s="4"/>
      <c r="B236" s="21"/>
      <c r="C236" s="4"/>
      <c r="D236" s="2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22.5" customHeight="1">
      <c r="A237" s="4"/>
      <c r="B237" s="21"/>
      <c r="C237" s="4"/>
      <c r="D237" s="2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22.5" customHeight="1">
      <c r="A238" s="4"/>
      <c r="B238" s="21"/>
      <c r="C238" s="4"/>
      <c r="D238" s="2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22.5" customHeight="1">
      <c r="A239" s="4"/>
      <c r="B239" s="21"/>
      <c r="C239" s="4"/>
      <c r="D239" s="2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22.5" customHeight="1">
      <c r="A240" s="4"/>
      <c r="B240" s="21"/>
      <c r="C240" s="4"/>
      <c r="D240" s="2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22.5" customHeight="1">
      <c r="A241" s="4"/>
      <c r="B241" s="21"/>
      <c r="C241" s="4"/>
      <c r="D241" s="2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22.5" customHeight="1">
      <c r="A242" s="4"/>
      <c r="B242" s="21"/>
      <c r="C242" s="4"/>
      <c r="D242" s="2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22.5" customHeight="1">
      <c r="A243" s="4"/>
      <c r="B243" s="21"/>
      <c r="C243" s="4"/>
      <c r="D243" s="2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22.5" customHeight="1">
      <c r="A244" s="4"/>
      <c r="B244" s="21"/>
      <c r="C244" s="4"/>
      <c r="D244" s="2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22.5" customHeight="1">
      <c r="A245" s="4"/>
      <c r="B245" s="21"/>
      <c r="C245" s="4"/>
      <c r="D245" s="2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22.5" customHeight="1">
      <c r="A246" s="4"/>
      <c r="B246" s="21"/>
      <c r="C246" s="4"/>
      <c r="D246" s="2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22.5" customHeight="1">
      <c r="A247" s="4"/>
      <c r="B247" s="21"/>
      <c r="C247" s="4"/>
      <c r="D247" s="2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22.5" customHeight="1">
      <c r="A248" s="4"/>
      <c r="B248" s="21"/>
      <c r="C248" s="4"/>
      <c r="D248" s="2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22.5" customHeight="1">
      <c r="A249" s="4"/>
      <c r="B249" s="21"/>
      <c r="C249" s="4"/>
      <c r="D249" s="2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22.5" customHeight="1">
      <c r="A250" s="4"/>
      <c r="B250" s="21"/>
      <c r="C250" s="4"/>
      <c r="D250" s="2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22.5" customHeight="1">
      <c r="A251" s="4"/>
      <c r="B251" s="21"/>
      <c r="C251" s="4"/>
      <c r="D251" s="2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22.5" customHeight="1">
      <c r="A252" s="4"/>
      <c r="B252" s="21"/>
      <c r="C252" s="4"/>
      <c r="D252" s="2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22.5" customHeight="1">
      <c r="A253" s="4"/>
      <c r="B253" s="21"/>
      <c r="C253" s="4"/>
      <c r="D253" s="2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22.5" customHeight="1">
      <c r="A254" s="4"/>
      <c r="B254" s="21"/>
      <c r="C254" s="4"/>
      <c r="D254" s="2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22.5" customHeight="1">
      <c r="A255" s="4"/>
      <c r="B255" s="21"/>
      <c r="C255" s="4"/>
      <c r="D255" s="2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22.5" customHeight="1">
      <c r="A256" s="4"/>
      <c r="B256" s="21"/>
      <c r="C256" s="4"/>
      <c r="D256" s="2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22.5" customHeight="1">
      <c r="A257" s="4"/>
      <c r="B257" s="21"/>
      <c r="C257" s="4"/>
      <c r="D257" s="2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22.5" customHeight="1">
      <c r="A258" s="4"/>
      <c r="B258" s="21"/>
      <c r="C258" s="4"/>
      <c r="D258" s="2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22.5" customHeight="1">
      <c r="A259" s="4"/>
      <c r="B259" s="21"/>
      <c r="C259" s="4"/>
      <c r="D259" s="2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22.5" customHeight="1">
      <c r="A260" s="4"/>
      <c r="B260" s="21"/>
      <c r="C260" s="4"/>
      <c r="D260" s="2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22.5" customHeight="1">
      <c r="A261" s="4"/>
      <c r="B261" s="21"/>
      <c r="C261" s="4"/>
      <c r="D261" s="2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22.5" customHeight="1">
      <c r="A262" s="4"/>
      <c r="B262" s="21"/>
      <c r="C262" s="4"/>
      <c r="D262" s="2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22.5" customHeight="1">
      <c r="A263" s="4"/>
      <c r="B263" s="21"/>
      <c r="C263" s="4"/>
      <c r="D263" s="2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22.5" customHeight="1">
      <c r="A264" s="4"/>
      <c r="B264" s="21"/>
      <c r="C264" s="4"/>
      <c r="D264" s="2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22.5" customHeight="1">
      <c r="A265" s="4"/>
      <c r="B265" s="21"/>
      <c r="C265" s="4"/>
      <c r="D265" s="2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22.5" customHeight="1">
      <c r="A266" s="4"/>
      <c r="B266" s="21"/>
      <c r="C266" s="4"/>
      <c r="D266" s="2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22.5" customHeight="1">
      <c r="A267" s="4"/>
      <c r="B267" s="21"/>
      <c r="C267" s="4"/>
      <c r="D267" s="2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22.5" customHeight="1">
      <c r="A268" s="4"/>
      <c r="B268" s="21"/>
      <c r="C268" s="4"/>
      <c r="D268" s="2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22.5" customHeight="1">
      <c r="A269" s="4"/>
      <c r="B269" s="21"/>
      <c r="C269" s="4"/>
      <c r="D269" s="2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22.5" customHeight="1">
      <c r="A270" s="4"/>
      <c r="B270" s="21"/>
      <c r="C270" s="4"/>
      <c r="D270" s="2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22.5" customHeight="1">
      <c r="A271" s="4"/>
      <c r="B271" s="21"/>
      <c r="C271" s="4"/>
      <c r="D271" s="2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22.5" customHeight="1">
      <c r="A272" s="4"/>
      <c r="B272" s="21"/>
      <c r="C272" s="4"/>
      <c r="D272" s="2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22.5" customHeight="1">
      <c r="A273" s="4"/>
      <c r="B273" s="21"/>
      <c r="C273" s="4"/>
      <c r="D273" s="2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22.5" customHeight="1">
      <c r="A274" s="4"/>
      <c r="B274" s="21"/>
      <c r="C274" s="4"/>
      <c r="D274" s="2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22.5" customHeight="1">
      <c r="A275" s="4"/>
      <c r="B275" s="21"/>
      <c r="C275" s="4"/>
      <c r="D275" s="2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22.5" customHeight="1">
      <c r="A276" s="4"/>
      <c r="B276" s="21"/>
      <c r="C276" s="4"/>
      <c r="D276" s="2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22.5" customHeight="1">
      <c r="A277" s="4"/>
      <c r="B277" s="21"/>
      <c r="C277" s="4"/>
      <c r="D277" s="2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22.5" customHeight="1">
      <c r="A278" s="4"/>
      <c r="B278" s="21"/>
      <c r="C278" s="4"/>
      <c r="D278" s="2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22.5" customHeight="1">
      <c r="A279" s="4"/>
      <c r="B279" s="21"/>
      <c r="C279" s="4"/>
      <c r="D279" s="2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22.5" customHeight="1">
      <c r="A280" s="4"/>
      <c r="B280" s="21"/>
      <c r="C280" s="4"/>
      <c r="D280" s="2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22.5" customHeight="1">
      <c r="A281" s="4"/>
      <c r="B281" s="21"/>
      <c r="C281" s="4"/>
      <c r="D281" s="2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22.5" customHeight="1">
      <c r="A282" s="4"/>
      <c r="B282" s="21"/>
      <c r="C282" s="4"/>
      <c r="D282" s="2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22.5" customHeight="1">
      <c r="A283" s="4"/>
      <c r="B283" s="21"/>
      <c r="C283" s="4"/>
      <c r="D283" s="2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22.5" customHeight="1">
      <c r="A284" s="4"/>
      <c r="B284" s="21"/>
      <c r="C284" s="4"/>
      <c r="D284" s="2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22.5" customHeight="1">
      <c r="A285" s="4"/>
      <c r="B285" s="21"/>
      <c r="C285" s="4"/>
      <c r="D285" s="2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22.5" customHeight="1">
      <c r="A286" s="4"/>
      <c r="B286" s="21"/>
      <c r="C286" s="4"/>
      <c r="D286" s="2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22.5" customHeight="1">
      <c r="A287" s="4"/>
      <c r="B287" s="21"/>
      <c r="C287" s="4"/>
      <c r="D287" s="2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22.5" customHeight="1">
      <c r="A288" s="4"/>
      <c r="B288" s="21"/>
      <c r="C288" s="4"/>
      <c r="D288" s="2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22.5" customHeight="1">
      <c r="A289" s="4"/>
      <c r="B289" s="21"/>
      <c r="C289" s="4"/>
      <c r="D289" s="2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22.5" customHeight="1">
      <c r="A290" s="4"/>
      <c r="B290" s="21"/>
      <c r="C290" s="4"/>
      <c r="D290" s="2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22.5" customHeight="1">
      <c r="A291" s="4"/>
      <c r="B291" s="21"/>
      <c r="C291" s="4"/>
      <c r="D291" s="2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22.5" customHeight="1">
      <c r="A292" s="4"/>
      <c r="B292" s="21"/>
      <c r="C292" s="4"/>
      <c r="D292" s="2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22.5" customHeight="1">
      <c r="A293" s="4"/>
      <c r="B293" s="21"/>
      <c r="C293" s="4"/>
      <c r="D293" s="2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22.5" customHeight="1">
      <c r="A294" s="4"/>
      <c r="B294" s="21"/>
      <c r="C294" s="4"/>
      <c r="D294" s="2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22.5" customHeight="1">
      <c r="A295" s="4"/>
      <c r="B295" s="21"/>
      <c r="C295" s="4"/>
      <c r="D295" s="2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22.5" customHeight="1">
      <c r="A296" s="4"/>
      <c r="B296" s="21"/>
      <c r="C296" s="4"/>
      <c r="D296" s="2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22.5" customHeight="1">
      <c r="A297" s="4"/>
      <c r="B297" s="21"/>
      <c r="C297" s="4"/>
      <c r="D297" s="2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22.5" customHeight="1">
      <c r="A298" s="4"/>
      <c r="B298" s="21"/>
      <c r="C298" s="4"/>
      <c r="D298" s="2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22.5" customHeight="1">
      <c r="A299" s="4"/>
      <c r="B299" s="21"/>
      <c r="C299" s="4"/>
      <c r="D299" s="2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22.5" customHeight="1">
      <c r="A300" s="4"/>
      <c r="B300" s="21"/>
      <c r="C300" s="4"/>
      <c r="D300" s="2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22.5" customHeight="1">
      <c r="A301" s="4"/>
      <c r="B301" s="21"/>
      <c r="C301" s="4"/>
      <c r="D301" s="2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22.5" customHeight="1">
      <c r="A302" s="4"/>
      <c r="B302" s="21"/>
      <c r="C302" s="4"/>
      <c r="D302" s="2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22.5" customHeight="1">
      <c r="A303" s="4"/>
      <c r="B303" s="21"/>
      <c r="C303" s="4"/>
      <c r="D303" s="2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22.5" customHeight="1">
      <c r="A304" s="4"/>
      <c r="B304" s="21"/>
      <c r="C304" s="4"/>
      <c r="D304" s="2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22.5" customHeight="1">
      <c r="A305" s="4"/>
      <c r="B305" s="21"/>
      <c r="C305" s="4"/>
      <c r="D305" s="2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22.5" customHeight="1">
      <c r="A306" s="4"/>
      <c r="B306" s="21"/>
      <c r="C306" s="4"/>
      <c r="D306" s="2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22.5" customHeight="1">
      <c r="A307" s="4"/>
      <c r="B307" s="21"/>
      <c r="C307" s="4"/>
      <c r="D307" s="2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22.5" customHeight="1">
      <c r="A308" s="4"/>
      <c r="B308" s="21"/>
      <c r="C308" s="4"/>
      <c r="D308" s="2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22.5" customHeight="1">
      <c r="A309" s="4"/>
      <c r="B309" s="21"/>
      <c r="C309" s="4"/>
      <c r="D309" s="2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22.5" customHeight="1">
      <c r="A310" s="4"/>
      <c r="B310" s="21"/>
      <c r="C310" s="4"/>
      <c r="D310" s="2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22.5" customHeight="1">
      <c r="A311" s="4"/>
      <c r="B311" s="21"/>
      <c r="C311" s="4"/>
      <c r="D311" s="2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22.5" customHeight="1">
      <c r="A312" s="4"/>
      <c r="B312" s="21"/>
      <c r="C312" s="4"/>
      <c r="D312" s="2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22.5" customHeight="1">
      <c r="A313" s="4"/>
      <c r="B313" s="21"/>
      <c r="C313" s="4"/>
      <c r="D313" s="2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22.5" customHeight="1">
      <c r="A314" s="4"/>
      <c r="B314" s="21"/>
      <c r="C314" s="4"/>
      <c r="D314" s="2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22.5" customHeight="1">
      <c r="A315" s="4"/>
      <c r="B315" s="21"/>
      <c r="C315" s="4"/>
      <c r="D315" s="2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22.5" customHeight="1">
      <c r="A316" s="4"/>
      <c r="B316" s="21"/>
      <c r="C316" s="4"/>
      <c r="D316" s="2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22.5" customHeight="1">
      <c r="A317" s="4"/>
      <c r="B317" s="21"/>
      <c r="C317" s="4"/>
      <c r="D317" s="2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22.5" customHeight="1">
      <c r="A318" s="4"/>
      <c r="B318" s="21"/>
      <c r="C318" s="4"/>
      <c r="D318" s="2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22.5" customHeight="1">
      <c r="A319" s="4"/>
      <c r="B319" s="21"/>
      <c r="C319" s="4"/>
      <c r="D319" s="2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22.5" customHeight="1">
      <c r="A320" s="4"/>
      <c r="B320" s="21"/>
      <c r="C320" s="4"/>
      <c r="D320" s="2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22.5" customHeight="1">
      <c r="A321" s="4"/>
      <c r="B321" s="21"/>
      <c r="C321" s="4"/>
      <c r="D321" s="2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22.5" customHeight="1">
      <c r="A322" s="4"/>
      <c r="B322" s="21"/>
      <c r="C322" s="4"/>
      <c r="D322" s="2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22.5" customHeight="1">
      <c r="A323" s="4"/>
      <c r="B323" s="21"/>
      <c r="C323" s="4"/>
      <c r="D323" s="2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22.5" customHeight="1">
      <c r="A324" s="4"/>
      <c r="B324" s="21"/>
      <c r="C324" s="4"/>
      <c r="D324" s="2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22.5" customHeight="1">
      <c r="A325" s="4"/>
      <c r="B325" s="21"/>
      <c r="C325" s="4"/>
      <c r="D325" s="2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22.5" customHeight="1">
      <c r="A326" s="4"/>
      <c r="B326" s="21"/>
      <c r="C326" s="4"/>
      <c r="D326" s="2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22.5" customHeight="1">
      <c r="A327" s="4"/>
      <c r="B327" s="21"/>
      <c r="C327" s="4"/>
      <c r="D327" s="2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22.5" customHeight="1">
      <c r="A328" s="4"/>
      <c r="B328" s="21"/>
      <c r="C328" s="4"/>
      <c r="D328" s="2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22.5" customHeight="1">
      <c r="A329" s="4"/>
      <c r="B329" s="21"/>
      <c r="C329" s="4"/>
      <c r="D329" s="2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22.5" customHeight="1">
      <c r="A330" s="4"/>
      <c r="B330" s="21"/>
      <c r="C330" s="4"/>
      <c r="D330" s="2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22.5" customHeight="1">
      <c r="A331" s="4"/>
      <c r="B331" s="21"/>
      <c r="C331" s="4"/>
      <c r="D331" s="2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22.5" customHeight="1">
      <c r="A332" s="4"/>
      <c r="B332" s="21"/>
      <c r="C332" s="4"/>
      <c r="D332" s="2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22.5" customHeight="1">
      <c r="A333" s="4"/>
      <c r="B333" s="21"/>
      <c r="C333" s="4"/>
      <c r="D333" s="2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22.5" customHeight="1">
      <c r="A334" s="4"/>
      <c r="B334" s="21"/>
      <c r="C334" s="4"/>
      <c r="D334" s="2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22.5" customHeight="1">
      <c r="A335" s="4"/>
      <c r="B335" s="21"/>
      <c r="C335" s="4"/>
      <c r="D335" s="2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22.5" customHeight="1">
      <c r="A336" s="4"/>
      <c r="B336" s="21"/>
      <c r="C336" s="4"/>
      <c r="D336" s="2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22.5" customHeight="1">
      <c r="A337" s="4"/>
      <c r="B337" s="21"/>
      <c r="C337" s="4"/>
      <c r="D337" s="2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22.5" customHeight="1">
      <c r="A338" s="4"/>
      <c r="B338" s="21"/>
      <c r="C338" s="4"/>
      <c r="D338" s="2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22.5" customHeight="1">
      <c r="A339" s="4"/>
      <c r="B339" s="21"/>
      <c r="C339" s="4"/>
      <c r="D339" s="2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22.5" customHeight="1">
      <c r="A340" s="4"/>
      <c r="B340" s="21"/>
      <c r="C340" s="4"/>
      <c r="D340" s="2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22.5" customHeight="1">
      <c r="A341" s="4"/>
      <c r="B341" s="21"/>
      <c r="C341" s="4"/>
      <c r="D341" s="2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22.5" customHeight="1">
      <c r="A342" s="4"/>
      <c r="B342" s="21"/>
      <c r="C342" s="4"/>
      <c r="D342" s="2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22.5" customHeight="1">
      <c r="A343" s="4"/>
      <c r="B343" s="21"/>
      <c r="C343" s="4"/>
      <c r="D343" s="2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22.5" customHeight="1">
      <c r="A344" s="4"/>
      <c r="B344" s="21"/>
      <c r="C344" s="4"/>
      <c r="D344" s="2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22.5" customHeight="1">
      <c r="A345" s="4"/>
      <c r="B345" s="21"/>
      <c r="C345" s="4"/>
      <c r="D345" s="2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22.5" customHeight="1">
      <c r="A346" s="4"/>
      <c r="B346" s="21"/>
      <c r="C346" s="4"/>
      <c r="D346" s="2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22.5" customHeight="1">
      <c r="A347" s="4"/>
      <c r="B347" s="21"/>
      <c r="C347" s="4"/>
      <c r="D347" s="2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22.5" customHeight="1">
      <c r="A348" s="4"/>
      <c r="B348" s="21"/>
      <c r="C348" s="4"/>
      <c r="D348" s="2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22.5" customHeight="1">
      <c r="A349" s="4"/>
      <c r="B349" s="21"/>
      <c r="C349" s="4"/>
      <c r="D349" s="2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22.5" customHeight="1">
      <c r="A350" s="4"/>
      <c r="B350" s="21"/>
      <c r="C350" s="4"/>
      <c r="D350" s="2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22.5" customHeight="1">
      <c r="A351" s="4"/>
      <c r="B351" s="21"/>
      <c r="C351" s="4"/>
      <c r="D351" s="2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22.5" customHeight="1">
      <c r="A352" s="4"/>
      <c r="B352" s="21"/>
      <c r="C352" s="4"/>
      <c r="D352" s="2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22.5" customHeight="1">
      <c r="A353" s="4"/>
      <c r="B353" s="21"/>
      <c r="C353" s="4"/>
      <c r="D353" s="2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22.5" customHeight="1">
      <c r="A354" s="4"/>
      <c r="B354" s="21"/>
      <c r="C354" s="4"/>
      <c r="D354" s="2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22.5" customHeight="1">
      <c r="A355" s="4"/>
      <c r="B355" s="21"/>
      <c r="C355" s="4"/>
      <c r="D355" s="2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22.5" customHeight="1">
      <c r="A356" s="4"/>
      <c r="B356" s="21"/>
      <c r="C356" s="4"/>
      <c r="D356" s="2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22.5" customHeight="1">
      <c r="A357" s="4"/>
      <c r="B357" s="21"/>
      <c r="C357" s="4"/>
      <c r="D357" s="2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22.5" customHeight="1">
      <c r="A358" s="4"/>
      <c r="B358" s="21"/>
      <c r="C358" s="4"/>
      <c r="D358" s="2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22.5" customHeight="1">
      <c r="A359" s="4"/>
      <c r="B359" s="21"/>
      <c r="C359" s="4"/>
      <c r="D359" s="2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22.5" customHeight="1">
      <c r="A360" s="4"/>
      <c r="B360" s="21"/>
      <c r="C360" s="4"/>
      <c r="D360" s="2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22.5" customHeight="1">
      <c r="A361" s="4"/>
      <c r="B361" s="21"/>
      <c r="C361" s="4"/>
      <c r="D361" s="2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22.5" customHeight="1">
      <c r="A362" s="4"/>
      <c r="B362" s="21"/>
      <c r="C362" s="4"/>
      <c r="D362" s="2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22.5" customHeight="1">
      <c r="A363" s="4"/>
      <c r="B363" s="21"/>
      <c r="C363" s="4"/>
      <c r="D363" s="2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22.5" customHeight="1">
      <c r="A364" s="4"/>
      <c r="B364" s="21"/>
      <c r="C364" s="4"/>
      <c r="D364" s="2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22.5" customHeight="1">
      <c r="A365" s="4"/>
      <c r="B365" s="21"/>
      <c r="C365" s="4"/>
      <c r="D365" s="2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22.5" customHeight="1">
      <c r="A366" s="4"/>
      <c r="B366" s="21"/>
      <c r="C366" s="4"/>
      <c r="D366" s="2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22.5" customHeight="1">
      <c r="A367" s="4"/>
      <c r="B367" s="21"/>
      <c r="C367" s="4"/>
      <c r="D367" s="2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22.5" customHeight="1">
      <c r="A368" s="4"/>
      <c r="B368" s="21"/>
      <c r="C368" s="4"/>
      <c r="D368" s="2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22.5" customHeight="1">
      <c r="A369" s="4"/>
      <c r="B369" s="21"/>
      <c r="C369" s="4"/>
      <c r="D369" s="2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22.5" customHeight="1">
      <c r="A370" s="4"/>
      <c r="B370" s="21"/>
      <c r="C370" s="4"/>
      <c r="D370" s="2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22.5" customHeight="1">
      <c r="A371" s="4"/>
      <c r="B371" s="21"/>
      <c r="C371" s="4"/>
      <c r="D371" s="2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22.5" customHeight="1">
      <c r="A372" s="4"/>
      <c r="B372" s="21"/>
      <c r="C372" s="4"/>
      <c r="D372" s="2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22.5" customHeight="1">
      <c r="A373" s="4"/>
      <c r="B373" s="21"/>
      <c r="C373" s="4"/>
      <c r="D373" s="2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22.5" customHeight="1">
      <c r="A374" s="4"/>
      <c r="B374" s="21"/>
      <c r="C374" s="4"/>
      <c r="D374" s="2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22.5" customHeight="1">
      <c r="A375" s="4"/>
      <c r="B375" s="21"/>
      <c r="C375" s="4"/>
      <c r="D375" s="2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22.5" customHeight="1">
      <c r="A376" s="4"/>
      <c r="B376" s="21"/>
      <c r="C376" s="4"/>
      <c r="D376" s="2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22.5" customHeight="1">
      <c r="A377" s="4"/>
      <c r="B377" s="21"/>
      <c r="C377" s="4"/>
      <c r="D377" s="2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22.5" customHeight="1">
      <c r="A378" s="4"/>
      <c r="B378" s="21"/>
      <c r="C378" s="4"/>
      <c r="D378" s="2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22.5" customHeight="1">
      <c r="A379" s="4"/>
      <c r="B379" s="21"/>
      <c r="C379" s="4"/>
      <c r="D379" s="2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22.5" customHeight="1">
      <c r="A380" s="4"/>
      <c r="B380" s="21"/>
      <c r="C380" s="4"/>
      <c r="D380" s="2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22.5" customHeight="1">
      <c r="A381" s="4"/>
      <c r="B381" s="21"/>
      <c r="C381" s="4"/>
      <c r="D381" s="2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22.5" customHeight="1">
      <c r="A382" s="4"/>
      <c r="B382" s="21"/>
      <c r="C382" s="4"/>
      <c r="D382" s="2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22.5" customHeight="1">
      <c r="A383" s="4"/>
      <c r="B383" s="21"/>
      <c r="C383" s="4"/>
      <c r="D383" s="2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22.5" customHeight="1">
      <c r="A384" s="4"/>
      <c r="B384" s="21"/>
      <c r="C384" s="4"/>
      <c r="D384" s="2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22.5" customHeight="1">
      <c r="A385" s="4"/>
      <c r="B385" s="21"/>
      <c r="C385" s="4"/>
      <c r="D385" s="2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22.5" customHeight="1">
      <c r="A386" s="4"/>
      <c r="B386" s="21"/>
      <c r="C386" s="4"/>
      <c r="D386" s="2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22.5" customHeight="1">
      <c r="A387" s="4"/>
      <c r="B387" s="21"/>
      <c r="C387" s="4"/>
      <c r="D387" s="2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22.5" customHeight="1">
      <c r="A388" s="4"/>
      <c r="B388" s="21"/>
      <c r="C388" s="4"/>
      <c r="D388" s="2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22.5" customHeight="1">
      <c r="A389" s="4"/>
      <c r="B389" s="21"/>
      <c r="C389" s="4"/>
      <c r="D389" s="2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22.5" customHeight="1">
      <c r="A390" s="4"/>
      <c r="B390" s="21"/>
      <c r="C390" s="4"/>
      <c r="D390" s="2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22.5" customHeight="1">
      <c r="A391" s="4"/>
      <c r="B391" s="21"/>
      <c r="C391" s="4"/>
      <c r="D391" s="2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22.5" customHeight="1">
      <c r="A392" s="4"/>
      <c r="B392" s="21"/>
      <c r="C392" s="4"/>
      <c r="D392" s="2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22.5" customHeight="1">
      <c r="A393" s="4"/>
      <c r="B393" s="21"/>
      <c r="C393" s="4"/>
      <c r="D393" s="2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22.5" customHeight="1">
      <c r="A394" s="4"/>
      <c r="B394" s="21"/>
      <c r="C394" s="4"/>
      <c r="D394" s="2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22.5" customHeight="1">
      <c r="A395" s="4"/>
      <c r="B395" s="21"/>
      <c r="C395" s="4"/>
      <c r="D395" s="2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22.5" customHeight="1">
      <c r="A396" s="4"/>
      <c r="B396" s="21"/>
      <c r="C396" s="4"/>
      <c r="D396" s="2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22.5" customHeight="1">
      <c r="A397" s="4"/>
      <c r="B397" s="21"/>
      <c r="C397" s="4"/>
      <c r="D397" s="2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22.5" customHeight="1">
      <c r="A398" s="4"/>
      <c r="B398" s="21"/>
      <c r="C398" s="4"/>
      <c r="D398" s="2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22.5" customHeight="1">
      <c r="A399" s="4"/>
      <c r="B399" s="21"/>
      <c r="C399" s="4"/>
      <c r="D399" s="2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22.5" customHeight="1">
      <c r="A400" s="4"/>
      <c r="B400" s="21"/>
      <c r="C400" s="4"/>
      <c r="D400" s="2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22.5" customHeight="1">
      <c r="A401" s="4"/>
      <c r="B401" s="21"/>
      <c r="C401" s="4"/>
      <c r="D401" s="2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22.5" customHeight="1">
      <c r="A402" s="4"/>
      <c r="B402" s="21"/>
      <c r="C402" s="4"/>
      <c r="D402" s="2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22.5" customHeight="1">
      <c r="A403" s="4"/>
      <c r="B403" s="21"/>
      <c r="C403" s="4"/>
      <c r="D403" s="2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22.5" customHeight="1">
      <c r="A404" s="4"/>
      <c r="B404" s="21"/>
      <c r="C404" s="4"/>
      <c r="D404" s="2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22.5" customHeight="1">
      <c r="A405" s="4"/>
      <c r="B405" s="21"/>
      <c r="C405" s="4"/>
      <c r="D405" s="2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22.5" customHeight="1">
      <c r="A406" s="4"/>
      <c r="B406" s="21"/>
      <c r="C406" s="4"/>
      <c r="D406" s="2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22.5" customHeight="1">
      <c r="A407" s="4"/>
      <c r="B407" s="21"/>
      <c r="C407" s="4"/>
      <c r="D407" s="2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22.5" customHeight="1">
      <c r="A408" s="4"/>
      <c r="B408" s="21"/>
      <c r="C408" s="4"/>
      <c r="D408" s="2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22.5" customHeight="1">
      <c r="A409" s="4"/>
      <c r="B409" s="21"/>
      <c r="C409" s="4"/>
      <c r="D409" s="2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22.5" customHeight="1">
      <c r="A410" s="4"/>
      <c r="B410" s="21"/>
      <c r="C410" s="4"/>
      <c r="D410" s="2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22.5" customHeight="1">
      <c r="A411" s="4"/>
      <c r="B411" s="21"/>
      <c r="C411" s="4"/>
      <c r="D411" s="2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22.5" customHeight="1">
      <c r="A412" s="4"/>
      <c r="B412" s="21"/>
      <c r="C412" s="4"/>
      <c r="D412" s="2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22.5" customHeight="1">
      <c r="A413" s="4"/>
      <c r="B413" s="21"/>
      <c r="C413" s="4"/>
      <c r="D413" s="2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22.5" customHeight="1">
      <c r="A414" s="4"/>
      <c r="B414" s="21"/>
      <c r="C414" s="4"/>
      <c r="D414" s="2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22.5" customHeight="1">
      <c r="A415" s="4"/>
      <c r="B415" s="21"/>
      <c r="C415" s="4"/>
      <c r="D415" s="2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22.5" customHeight="1">
      <c r="A416" s="4"/>
      <c r="B416" s="21"/>
      <c r="C416" s="4"/>
      <c r="D416" s="2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22.5" customHeight="1">
      <c r="A417" s="4"/>
      <c r="B417" s="21"/>
      <c r="C417" s="4"/>
      <c r="D417" s="2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22.5" customHeight="1">
      <c r="A418" s="4"/>
      <c r="B418" s="21"/>
      <c r="C418" s="4"/>
      <c r="D418" s="2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22.5" customHeight="1">
      <c r="A419" s="4"/>
      <c r="B419" s="21"/>
      <c r="C419" s="4"/>
      <c r="D419" s="2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22.5" customHeight="1">
      <c r="A420" s="4"/>
      <c r="B420" s="21"/>
      <c r="C420" s="4"/>
      <c r="D420" s="2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22.5" customHeight="1">
      <c r="A421" s="4"/>
      <c r="B421" s="21"/>
      <c r="C421" s="4"/>
      <c r="D421" s="2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22.5" customHeight="1">
      <c r="A422" s="4"/>
      <c r="B422" s="21"/>
      <c r="C422" s="4"/>
      <c r="D422" s="2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22.5" customHeight="1">
      <c r="A423" s="4"/>
      <c r="B423" s="21"/>
      <c r="C423" s="4"/>
      <c r="D423" s="2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22.5" customHeight="1">
      <c r="A424" s="4"/>
      <c r="B424" s="21"/>
      <c r="C424" s="4"/>
      <c r="D424" s="2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22.5" customHeight="1">
      <c r="A425" s="4"/>
      <c r="B425" s="21"/>
      <c r="C425" s="4"/>
      <c r="D425" s="2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22.5" customHeight="1">
      <c r="A426" s="4"/>
      <c r="B426" s="21"/>
      <c r="C426" s="4"/>
      <c r="D426" s="2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22.5" customHeight="1">
      <c r="A427" s="4"/>
      <c r="B427" s="21"/>
      <c r="C427" s="4"/>
      <c r="D427" s="2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22.5" customHeight="1">
      <c r="A428" s="4"/>
      <c r="B428" s="21"/>
      <c r="C428" s="4"/>
      <c r="D428" s="2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22.5" customHeight="1">
      <c r="A429" s="4"/>
      <c r="B429" s="21"/>
      <c r="C429" s="4"/>
      <c r="D429" s="2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22.5" customHeight="1">
      <c r="A430" s="4"/>
      <c r="B430" s="21"/>
      <c r="C430" s="4"/>
      <c r="D430" s="2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22.5" customHeight="1">
      <c r="A431" s="4"/>
      <c r="B431" s="21"/>
      <c r="C431" s="4"/>
      <c r="D431" s="2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22.5" customHeight="1">
      <c r="A432" s="4"/>
      <c r="B432" s="21"/>
      <c r="C432" s="4"/>
      <c r="D432" s="2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22.5" customHeight="1">
      <c r="A433" s="4"/>
      <c r="B433" s="21"/>
      <c r="C433" s="4"/>
      <c r="D433" s="2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22.5" customHeight="1">
      <c r="A434" s="4"/>
      <c r="B434" s="21"/>
      <c r="C434" s="4"/>
      <c r="D434" s="2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22.5" customHeight="1">
      <c r="A435" s="4"/>
      <c r="B435" s="21"/>
      <c r="C435" s="4"/>
      <c r="D435" s="2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22.5" customHeight="1">
      <c r="A436" s="4"/>
      <c r="B436" s="21"/>
      <c r="C436" s="4"/>
      <c r="D436" s="2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22.5" customHeight="1">
      <c r="A437" s="4"/>
      <c r="B437" s="21"/>
      <c r="C437" s="4"/>
      <c r="D437" s="2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22.5" customHeight="1">
      <c r="A438" s="4"/>
      <c r="B438" s="21"/>
      <c r="C438" s="4"/>
      <c r="D438" s="2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22.5" customHeight="1">
      <c r="A439" s="4"/>
      <c r="B439" s="21"/>
      <c r="C439" s="4"/>
      <c r="D439" s="2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22.5" customHeight="1">
      <c r="A440" s="4"/>
      <c r="B440" s="21"/>
      <c r="C440" s="4"/>
      <c r="D440" s="2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22.5" customHeight="1">
      <c r="A441" s="4"/>
      <c r="B441" s="21"/>
      <c r="C441" s="4"/>
      <c r="D441" s="2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22.5" customHeight="1">
      <c r="A442" s="4"/>
      <c r="B442" s="21"/>
      <c r="C442" s="4"/>
      <c r="D442" s="2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22.5" customHeight="1">
      <c r="A443" s="4"/>
      <c r="B443" s="21"/>
      <c r="C443" s="4"/>
      <c r="D443" s="2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22.5" customHeight="1">
      <c r="A444" s="4"/>
      <c r="B444" s="21"/>
      <c r="C444" s="4"/>
      <c r="D444" s="2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22.5" customHeight="1">
      <c r="A445" s="4"/>
      <c r="B445" s="21"/>
      <c r="C445" s="4"/>
      <c r="D445" s="2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22.5" customHeight="1">
      <c r="A446" s="4"/>
      <c r="B446" s="21"/>
      <c r="C446" s="4"/>
      <c r="D446" s="2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22.5" customHeight="1">
      <c r="A447" s="4"/>
      <c r="B447" s="21"/>
      <c r="C447" s="4"/>
      <c r="D447" s="2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22.5" customHeight="1">
      <c r="A448" s="4"/>
      <c r="B448" s="21"/>
      <c r="C448" s="4"/>
      <c r="D448" s="2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22.5" customHeight="1">
      <c r="A449" s="4"/>
      <c r="B449" s="21"/>
      <c r="C449" s="4"/>
      <c r="D449" s="2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22.5" customHeight="1">
      <c r="A450" s="4"/>
      <c r="B450" s="21"/>
      <c r="C450" s="4"/>
      <c r="D450" s="2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22.5" customHeight="1">
      <c r="A451" s="4"/>
      <c r="B451" s="21"/>
      <c r="C451" s="4"/>
      <c r="D451" s="2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22.5" customHeight="1">
      <c r="A452" s="4"/>
      <c r="B452" s="21"/>
      <c r="C452" s="4"/>
      <c r="D452" s="2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22.5" customHeight="1">
      <c r="A453" s="4"/>
      <c r="B453" s="21"/>
      <c r="C453" s="4"/>
      <c r="D453" s="2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22.5" customHeight="1">
      <c r="A454" s="4"/>
      <c r="B454" s="21"/>
      <c r="C454" s="4"/>
      <c r="D454" s="2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22.5" customHeight="1">
      <c r="A455" s="4"/>
      <c r="B455" s="21"/>
      <c r="C455" s="4"/>
      <c r="D455" s="2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22.5" customHeight="1">
      <c r="A456" s="4"/>
      <c r="B456" s="21"/>
      <c r="C456" s="4"/>
      <c r="D456" s="2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22.5" customHeight="1">
      <c r="A457" s="4"/>
      <c r="B457" s="21"/>
      <c r="C457" s="4"/>
      <c r="D457" s="2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22.5" customHeight="1">
      <c r="A458" s="4"/>
      <c r="B458" s="21"/>
      <c r="C458" s="4"/>
      <c r="D458" s="2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22.5" customHeight="1">
      <c r="A459" s="4"/>
      <c r="B459" s="21"/>
      <c r="C459" s="4"/>
      <c r="D459" s="2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22.5" customHeight="1">
      <c r="A460" s="4"/>
      <c r="B460" s="21"/>
      <c r="C460" s="4"/>
      <c r="D460" s="2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22.5" customHeight="1">
      <c r="A461" s="4"/>
      <c r="B461" s="21"/>
      <c r="C461" s="4"/>
      <c r="D461" s="2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22.5" customHeight="1">
      <c r="A462" s="4"/>
      <c r="B462" s="21"/>
      <c r="C462" s="4"/>
      <c r="D462" s="2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22.5" customHeight="1">
      <c r="A463" s="4"/>
      <c r="B463" s="21"/>
      <c r="C463" s="4"/>
      <c r="D463" s="2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22.5" customHeight="1">
      <c r="A464" s="4"/>
      <c r="B464" s="21"/>
      <c r="C464" s="4"/>
      <c r="D464" s="2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22.5" customHeight="1">
      <c r="A465" s="4"/>
      <c r="B465" s="21"/>
      <c r="C465" s="4"/>
      <c r="D465" s="2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22.5" customHeight="1">
      <c r="A466" s="4"/>
      <c r="B466" s="21"/>
      <c r="C466" s="4"/>
      <c r="D466" s="2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22.5" customHeight="1">
      <c r="A467" s="4"/>
      <c r="B467" s="21"/>
      <c r="C467" s="4"/>
      <c r="D467" s="2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22.5" customHeight="1">
      <c r="A468" s="4"/>
      <c r="B468" s="21"/>
      <c r="C468" s="4"/>
      <c r="D468" s="2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22.5" customHeight="1">
      <c r="A469" s="4"/>
      <c r="B469" s="21"/>
      <c r="C469" s="4"/>
      <c r="D469" s="2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22.5" customHeight="1">
      <c r="A470" s="4"/>
      <c r="B470" s="21"/>
      <c r="C470" s="4"/>
      <c r="D470" s="2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22.5" customHeight="1">
      <c r="A471" s="4"/>
      <c r="B471" s="21"/>
      <c r="C471" s="4"/>
      <c r="D471" s="2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22.5" customHeight="1">
      <c r="A472" s="4"/>
      <c r="B472" s="21"/>
      <c r="C472" s="4"/>
      <c r="D472" s="2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22.5" customHeight="1">
      <c r="A473" s="4"/>
      <c r="B473" s="21"/>
      <c r="C473" s="4"/>
      <c r="D473" s="2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22.5" customHeight="1">
      <c r="A474" s="4"/>
      <c r="B474" s="21"/>
      <c r="C474" s="4"/>
      <c r="D474" s="2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22.5" customHeight="1">
      <c r="A475" s="4"/>
      <c r="B475" s="21"/>
      <c r="C475" s="4"/>
      <c r="D475" s="2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22.5" customHeight="1">
      <c r="A476" s="4"/>
      <c r="B476" s="21"/>
      <c r="C476" s="4"/>
      <c r="D476" s="2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22.5" customHeight="1">
      <c r="A477" s="4"/>
      <c r="B477" s="21"/>
      <c r="C477" s="4"/>
      <c r="D477" s="2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22.5" customHeight="1">
      <c r="A478" s="4"/>
      <c r="B478" s="21"/>
      <c r="C478" s="4"/>
      <c r="D478" s="2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22.5" customHeight="1">
      <c r="A479" s="4"/>
      <c r="B479" s="21"/>
      <c r="C479" s="4"/>
      <c r="D479" s="2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22.5" customHeight="1">
      <c r="A480" s="4"/>
      <c r="B480" s="21"/>
      <c r="C480" s="4"/>
      <c r="D480" s="2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22.5" customHeight="1">
      <c r="A481" s="4"/>
      <c r="B481" s="21"/>
      <c r="C481" s="4"/>
      <c r="D481" s="2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22.5" customHeight="1">
      <c r="A482" s="4"/>
      <c r="B482" s="21"/>
      <c r="C482" s="4"/>
      <c r="D482" s="2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22.5" customHeight="1">
      <c r="A483" s="4"/>
      <c r="B483" s="21"/>
      <c r="C483" s="4"/>
      <c r="D483" s="2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22.5" customHeight="1">
      <c r="A484" s="4"/>
      <c r="B484" s="21"/>
      <c r="C484" s="4"/>
      <c r="D484" s="2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22.5" customHeight="1">
      <c r="A485" s="4"/>
      <c r="B485" s="21"/>
      <c r="C485" s="4"/>
      <c r="D485" s="2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22.5" customHeight="1">
      <c r="A486" s="4"/>
      <c r="B486" s="21"/>
      <c r="C486" s="4"/>
      <c r="D486" s="2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22.5" customHeight="1">
      <c r="A487" s="4"/>
      <c r="B487" s="21"/>
      <c r="C487" s="4"/>
      <c r="D487" s="2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22.5" customHeight="1">
      <c r="A488" s="4"/>
      <c r="B488" s="21"/>
      <c r="C488" s="4"/>
      <c r="D488" s="2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22.5" customHeight="1">
      <c r="A489" s="4"/>
      <c r="B489" s="21"/>
      <c r="C489" s="4"/>
      <c r="D489" s="2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22.5" customHeight="1">
      <c r="A490" s="4"/>
      <c r="B490" s="21"/>
      <c r="C490" s="4"/>
      <c r="D490" s="2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22.5" customHeight="1">
      <c r="A491" s="4"/>
      <c r="B491" s="21"/>
      <c r="C491" s="4"/>
      <c r="D491" s="2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22.5" customHeight="1">
      <c r="A492" s="4"/>
      <c r="B492" s="21"/>
      <c r="C492" s="4"/>
      <c r="D492" s="2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22.5" customHeight="1">
      <c r="A493" s="4"/>
      <c r="B493" s="21"/>
      <c r="C493" s="4"/>
      <c r="D493" s="2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22.5" customHeight="1">
      <c r="A494" s="4"/>
      <c r="B494" s="21"/>
      <c r="C494" s="4"/>
      <c r="D494" s="2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22.5" customHeight="1">
      <c r="A495" s="4"/>
      <c r="B495" s="21"/>
      <c r="C495" s="4"/>
      <c r="D495" s="2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22.5" customHeight="1">
      <c r="A496" s="4"/>
      <c r="B496" s="21"/>
      <c r="C496" s="4"/>
      <c r="D496" s="2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22.5" customHeight="1">
      <c r="A497" s="4"/>
      <c r="B497" s="21"/>
      <c r="C497" s="4"/>
      <c r="D497" s="2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22.5" customHeight="1">
      <c r="A498" s="4"/>
      <c r="B498" s="21"/>
      <c r="C498" s="4"/>
      <c r="D498" s="2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22.5" customHeight="1">
      <c r="A499" s="4"/>
      <c r="B499" s="21"/>
      <c r="C499" s="4"/>
      <c r="D499" s="2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22.5" customHeight="1">
      <c r="A500" s="4"/>
      <c r="B500" s="21"/>
      <c r="C500" s="4"/>
      <c r="D500" s="2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22.5" customHeight="1">
      <c r="A501" s="4"/>
      <c r="B501" s="21"/>
      <c r="C501" s="4"/>
      <c r="D501" s="2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22.5" customHeight="1">
      <c r="A502" s="4"/>
      <c r="B502" s="21"/>
      <c r="C502" s="4"/>
      <c r="D502" s="2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22.5" customHeight="1">
      <c r="A503" s="4"/>
      <c r="B503" s="21"/>
      <c r="C503" s="4"/>
      <c r="D503" s="2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22.5" customHeight="1">
      <c r="A504" s="4"/>
      <c r="B504" s="21"/>
      <c r="C504" s="4"/>
      <c r="D504" s="2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22.5" customHeight="1">
      <c r="A505" s="4"/>
      <c r="B505" s="21"/>
      <c r="C505" s="4"/>
      <c r="D505" s="2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22.5" customHeight="1">
      <c r="A506" s="4"/>
      <c r="B506" s="21"/>
      <c r="C506" s="4"/>
      <c r="D506" s="2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22.5" customHeight="1">
      <c r="A507" s="4"/>
      <c r="B507" s="21"/>
      <c r="C507" s="4"/>
      <c r="D507" s="2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22.5" customHeight="1">
      <c r="A508" s="4"/>
      <c r="B508" s="21"/>
      <c r="C508" s="4"/>
      <c r="D508" s="2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22.5" customHeight="1">
      <c r="A509" s="4"/>
      <c r="B509" s="21"/>
      <c r="C509" s="4"/>
      <c r="D509" s="2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22.5" customHeight="1">
      <c r="A510" s="4"/>
      <c r="B510" s="21"/>
      <c r="C510" s="4"/>
      <c r="D510" s="2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22.5" customHeight="1">
      <c r="A511" s="4"/>
      <c r="B511" s="21"/>
      <c r="C511" s="4"/>
      <c r="D511" s="2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22.5" customHeight="1">
      <c r="A512" s="4"/>
      <c r="B512" s="21"/>
      <c r="C512" s="4"/>
      <c r="D512" s="2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22.5" customHeight="1">
      <c r="A513" s="4"/>
      <c r="B513" s="21"/>
      <c r="C513" s="4"/>
      <c r="D513" s="2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22.5" customHeight="1">
      <c r="A514" s="4"/>
      <c r="B514" s="21"/>
      <c r="C514" s="4"/>
      <c r="D514" s="2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22.5" customHeight="1">
      <c r="A515" s="4"/>
      <c r="B515" s="21"/>
      <c r="C515" s="4"/>
      <c r="D515" s="2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22.5" customHeight="1">
      <c r="A516" s="4"/>
      <c r="B516" s="21"/>
      <c r="C516" s="4"/>
      <c r="D516" s="2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22.5" customHeight="1">
      <c r="A517" s="4"/>
      <c r="B517" s="21"/>
      <c r="C517" s="4"/>
      <c r="D517" s="2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22.5" customHeight="1">
      <c r="A518" s="4"/>
      <c r="B518" s="21"/>
      <c r="C518" s="4"/>
      <c r="D518" s="2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22.5" customHeight="1">
      <c r="A519" s="4"/>
      <c r="B519" s="21"/>
      <c r="C519" s="4"/>
      <c r="D519" s="2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22.5" customHeight="1">
      <c r="A520" s="4"/>
      <c r="B520" s="21"/>
      <c r="C520" s="4"/>
      <c r="D520" s="2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22.5" customHeight="1">
      <c r="A521" s="4"/>
      <c r="B521" s="21"/>
      <c r="C521" s="4"/>
      <c r="D521" s="2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22.5" customHeight="1">
      <c r="A522" s="4"/>
      <c r="B522" s="21"/>
      <c r="C522" s="4"/>
      <c r="D522" s="2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22.5" customHeight="1">
      <c r="A523" s="4"/>
      <c r="B523" s="21"/>
      <c r="C523" s="4"/>
      <c r="D523" s="2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22.5" customHeight="1">
      <c r="A524" s="4"/>
      <c r="B524" s="21"/>
      <c r="C524" s="4"/>
      <c r="D524" s="2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22.5" customHeight="1">
      <c r="A525" s="4"/>
      <c r="B525" s="21"/>
      <c r="C525" s="4"/>
      <c r="D525" s="2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22.5" customHeight="1">
      <c r="A526" s="4"/>
      <c r="B526" s="21"/>
      <c r="C526" s="4"/>
      <c r="D526" s="2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22.5" customHeight="1">
      <c r="A527" s="4"/>
      <c r="B527" s="21"/>
      <c r="C527" s="4"/>
      <c r="D527" s="2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22.5" customHeight="1">
      <c r="A528" s="4"/>
      <c r="B528" s="21"/>
      <c r="C528" s="4"/>
      <c r="D528" s="2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22.5" customHeight="1">
      <c r="A529" s="4"/>
      <c r="B529" s="21"/>
      <c r="C529" s="4"/>
      <c r="D529" s="2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22.5" customHeight="1">
      <c r="A530" s="4"/>
      <c r="B530" s="21"/>
      <c r="C530" s="4"/>
      <c r="D530" s="2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22.5" customHeight="1">
      <c r="A531" s="4"/>
      <c r="B531" s="21"/>
      <c r="C531" s="4"/>
      <c r="D531" s="2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22.5" customHeight="1">
      <c r="A532" s="4"/>
      <c r="B532" s="21"/>
      <c r="C532" s="4"/>
      <c r="D532" s="2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22.5" customHeight="1">
      <c r="A533" s="4"/>
      <c r="B533" s="21"/>
      <c r="C533" s="4"/>
      <c r="D533" s="2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22.5" customHeight="1">
      <c r="A534" s="4"/>
      <c r="B534" s="21"/>
      <c r="C534" s="4"/>
      <c r="D534" s="2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22.5" customHeight="1">
      <c r="A535" s="4"/>
      <c r="B535" s="21"/>
      <c r="C535" s="4"/>
      <c r="D535" s="2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22.5" customHeight="1">
      <c r="A536" s="4"/>
      <c r="B536" s="21"/>
      <c r="C536" s="4"/>
      <c r="D536" s="2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22.5" customHeight="1">
      <c r="A537" s="4"/>
      <c r="B537" s="21"/>
      <c r="C537" s="4"/>
      <c r="D537" s="2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22.5" customHeight="1">
      <c r="A538" s="4"/>
      <c r="B538" s="21"/>
      <c r="C538" s="4"/>
      <c r="D538" s="2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22.5" customHeight="1">
      <c r="A539" s="4"/>
      <c r="B539" s="21"/>
      <c r="C539" s="4"/>
      <c r="D539" s="2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22.5" customHeight="1">
      <c r="A540" s="4"/>
      <c r="B540" s="21"/>
      <c r="C540" s="4"/>
      <c r="D540" s="2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22.5" customHeight="1">
      <c r="A541" s="4"/>
      <c r="B541" s="21"/>
      <c r="C541" s="4"/>
      <c r="D541" s="2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22.5" customHeight="1">
      <c r="A542" s="4"/>
      <c r="B542" s="21"/>
      <c r="C542" s="4"/>
      <c r="D542" s="2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22.5" customHeight="1">
      <c r="A543" s="4"/>
      <c r="B543" s="21"/>
      <c r="C543" s="4"/>
      <c r="D543" s="2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22.5" customHeight="1">
      <c r="A544" s="4"/>
      <c r="B544" s="21"/>
      <c r="C544" s="4"/>
      <c r="D544" s="2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22.5" customHeight="1">
      <c r="A545" s="4"/>
      <c r="B545" s="21"/>
      <c r="C545" s="4"/>
      <c r="D545" s="2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22.5" customHeight="1">
      <c r="A546" s="4"/>
      <c r="B546" s="21"/>
      <c r="C546" s="4"/>
      <c r="D546" s="2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22.5" customHeight="1">
      <c r="A547" s="4"/>
      <c r="B547" s="21"/>
      <c r="C547" s="4"/>
      <c r="D547" s="2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22.5" customHeight="1">
      <c r="A548" s="4"/>
      <c r="B548" s="21"/>
      <c r="C548" s="4"/>
      <c r="D548" s="2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22.5" customHeight="1">
      <c r="A549" s="4"/>
      <c r="B549" s="21"/>
      <c r="C549" s="4"/>
      <c r="D549" s="2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22.5" customHeight="1">
      <c r="A550" s="4"/>
      <c r="B550" s="21"/>
      <c r="C550" s="4"/>
      <c r="D550" s="2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22.5" customHeight="1">
      <c r="A551" s="4"/>
      <c r="B551" s="21"/>
      <c r="C551" s="4"/>
      <c r="D551" s="2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22.5" customHeight="1">
      <c r="A552" s="4"/>
      <c r="B552" s="21"/>
      <c r="C552" s="4"/>
      <c r="D552" s="2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22.5" customHeight="1">
      <c r="A553" s="4"/>
      <c r="B553" s="21"/>
      <c r="C553" s="4"/>
      <c r="D553" s="2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22.5" customHeight="1">
      <c r="A554" s="4"/>
      <c r="B554" s="21"/>
      <c r="C554" s="4"/>
      <c r="D554" s="2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22.5" customHeight="1">
      <c r="A555" s="4"/>
      <c r="B555" s="21"/>
      <c r="C555" s="4"/>
      <c r="D555" s="2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22.5" customHeight="1">
      <c r="A556" s="4"/>
      <c r="B556" s="21"/>
      <c r="C556" s="4"/>
      <c r="D556" s="2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22.5" customHeight="1">
      <c r="A557" s="4"/>
      <c r="B557" s="21"/>
      <c r="C557" s="4"/>
      <c r="D557" s="2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22.5" customHeight="1">
      <c r="A558" s="4"/>
      <c r="B558" s="21"/>
      <c r="C558" s="4"/>
      <c r="D558" s="2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22.5" customHeight="1">
      <c r="A559" s="4"/>
      <c r="B559" s="21"/>
      <c r="C559" s="4"/>
      <c r="D559" s="2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22.5" customHeight="1">
      <c r="A560" s="4"/>
      <c r="B560" s="21"/>
      <c r="C560" s="4"/>
      <c r="D560" s="2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22.5" customHeight="1">
      <c r="A561" s="4"/>
      <c r="B561" s="21"/>
      <c r="C561" s="4"/>
      <c r="D561" s="2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22.5" customHeight="1">
      <c r="A562" s="4"/>
      <c r="B562" s="21"/>
      <c r="C562" s="4"/>
      <c r="D562" s="2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22.5" customHeight="1">
      <c r="A563" s="4"/>
      <c r="B563" s="21"/>
      <c r="C563" s="4"/>
      <c r="D563" s="2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22.5" customHeight="1">
      <c r="A564" s="4"/>
      <c r="B564" s="21"/>
      <c r="C564" s="4"/>
      <c r="D564" s="2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22.5" customHeight="1">
      <c r="A565" s="4"/>
      <c r="B565" s="21"/>
      <c r="C565" s="4"/>
      <c r="D565" s="2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22.5" customHeight="1">
      <c r="A566" s="4"/>
      <c r="B566" s="21"/>
      <c r="C566" s="4"/>
      <c r="D566" s="2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22.5" customHeight="1">
      <c r="A567" s="4"/>
      <c r="B567" s="21"/>
      <c r="C567" s="4"/>
      <c r="D567" s="2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22.5" customHeight="1">
      <c r="A568" s="4"/>
      <c r="B568" s="21"/>
      <c r="C568" s="4"/>
      <c r="D568" s="2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22.5" customHeight="1">
      <c r="A569" s="4"/>
      <c r="B569" s="21"/>
      <c r="C569" s="4"/>
      <c r="D569" s="2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22.5" customHeight="1">
      <c r="A570" s="4"/>
      <c r="B570" s="21"/>
      <c r="C570" s="4"/>
      <c r="D570" s="2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22.5" customHeight="1">
      <c r="A571" s="4"/>
      <c r="B571" s="21"/>
      <c r="C571" s="4"/>
      <c r="D571" s="2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22.5" customHeight="1">
      <c r="A572" s="4"/>
      <c r="B572" s="21"/>
      <c r="C572" s="4"/>
      <c r="D572" s="2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22.5" customHeight="1">
      <c r="A573" s="4"/>
      <c r="B573" s="21"/>
      <c r="C573" s="4"/>
      <c r="D573" s="2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22.5" customHeight="1">
      <c r="A574" s="4"/>
      <c r="B574" s="21"/>
      <c r="C574" s="4"/>
      <c r="D574" s="2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22.5" customHeight="1">
      <c r="A575" s="4"/>
      <c r="B575" s="21"/>
      <c r="C575" s="4"/>
      <c r="D575" s="2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22.5" customHeight="1">
      <c r="A576" s="4"/>
      <c r="B576" s="21"/>
      <c r="C576" s="4"/>
      <c r="D576" s="2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22.5" customHeight="1">
      <c r="A577" s="4"/>
      <c r="B577" s="21"/>
      <c r="C577" s="4"/>
      <c r="D577" s="2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22.5" customHeight="1">
      <c r="A578" s="4"/>
      <c r="B578" s="21"/>
      <c r="C578" s="4"/>
      <c r="D578" s="2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22.5" customHeight="1">
      <c r="A579" s="4"/>
      <c r="B579" s="21"/>
      <c r="C579" s="4"/>
      <c r="D579" s="2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22.5" customHeight="1">
      <c r="A580" s="4"/>
      <c r="B580" s="21"/>
      <c r="C580" s="4"/>
      <c r="D580" s="2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22.5" customHeight="1">
      <c r="A581" s="4"/>
      <c r="B581" s="21"/>
      <c r="C581" s="4"/>
      <c r="D581" s="2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22.5" customHeight="1">
      <c r="A582" s="4"/>
      <c r="B582" s="21"/>
      <c r="C582" s="4"/>
      <c r="D582" s="2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22.5" customHeight="1">
      <c r="A583" s="4"/>
      <c r="B583" s="21"/>
      <c r="C583" s="4"/>
      <c r="D583" s="2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22.5" customHeight="1">
      <c r="A584" s="4"/>
      <c r="B584" s="21"/>
      <c r="C584" s="4"/>
      <c r="D584" s="2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22.5" customHeight="1">
      <c r="A585" s="4"/>
      <c r="B585" s="21"/>
      <c r="C585" s="4"/>
      <c r="D585" s="2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22.5" customHeight="1">
      <c r="A586" s="4"/>
      <c r="B586" s="21"/>
      <c r="C586" s="4"/>
      <c r="D586" s="2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22.5" customHeight="1">
      <c r="A587" s="4"/>
      <c r="B587" s="21"/>
      <c r="C587" s="4"/>
      <c r="D587" s="2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22.5" customHeight="1">
      <c r="A588" s="4"/>
      <c r="B588" s="21"/>
      <c r="C588" s="4"/>
      <c r="D588" s="2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22.5" customHeight="1">
      <c r="A589" s="4"/>
      <c r="B589" s="21"/>
      <c r="C589" s="4"/>
      <c r="D589" s="2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22.5" customHeight="1">
      <c r="A590" s="4"/>
      <c r="B590" s="21"/>
      <c r="C590" s="4"/>
      <c r="D590" s="2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22.5" customHeight="1">
      <c r="A591" s="4"/>
      <c r="B591" s="21"/>
      <c r="C591" s="4"/>
      <c r="D591" s="2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22.5" customHeight="1">
      <c r="A592" s="4"/>
      <c r="B592" s="21"/>
      <c r="C592" s="4"/>
      <c r="D592" s="2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22.5" customHeight="1">
      <c r="A593" s="4"/>
      <c r="B593" s="21"/>
      <c r="C593" s="4"/>
      <c r="D593" s="2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22.5" customHeight="1">
      <c r="A594" s="4"/>
      <c r="B594" s="21"/>
      <c r="C594" s="4"/>
      <c r="D594" s="2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22.5" customHeight="1">
      <c r="A595" s="4"/>
      <c r="B595" s="21"/>
      <c r="C595" s="4"/>
      <c r="D595" s="2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22.5" customHeight="1">
      <c r="A596" s="4"/>
      <c r="B596" s="21"/>
      <c r="C596" s="4"/>
      <c r="D596" s="2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22.5" customHeight="1">
      <c r="A597" s="4"/>
      <c r="B597" s="21"/>
      <c r="C597" s="4"/>
      <c r="D597" s="2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22.5" customHeight="1">
      <c r="A598" s="4"/>
      <c r="B598" s="21"/>
      <c r="C598" s="4"/>
      <c r="D598" s="2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22.5" customHeight="1">
      <c r="A599" s="4"/>
      <c r="B599" s="21"/>
      <c r="C599" s="4"/>
      <c r="D599" s="2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22.5" customHeight="1">
      <c r="A600" s="4"/>
      <c r="B600" s="21"/>
      <c r="C600" s="4"/>
      <c r="D600" s="2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22.5" customHeight="1">
      <c r="A601" s="4"/>
      <c r="B601" s="21"/>
      <c r="C601" s="4"/>
      <c r="D601" s="2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22.5" customHeight="1">
      <c r="A602" s="4"/>
      <c r="B602" s="21"/>
      <c r="C602" s="4"/>
      <c r="D602" s="2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22.5" customHeight="1">
      <c r="A603" s="4"/>
      <c r="B603" s="21"/>
      <c r="C603" s="4"/>
      <c r="D603" s="2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22.5" customHeight="1">
      <c r="A604" s="4"/>
      <c r="B604" s="21"/>
      <c r="C604" s="4"/>
      <c r="D604" s="2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22.5" customHeight="1">
      <c r="A605" s="4"/>
      <c r="B605" s="21"/>
      <c r="C605" s="4"/>
      <c r="D605" s="2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22.5" customHeight="1">
      <c r="A606" s="4"/>
      <c r="B606" s="21"/>
      <c r="C606" s="4"/>
      <c r="D606" s="2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22.5" customHeight="1">
      <c r="A607" s="4"/>
      <c r="B607" s="21"/>
      <c r="C607" s="4"/>
      <c r="D607" s="2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22.5" customHeight="1">
      <c r="A608" s="4"/>
      <c r="B608" s="21"/>
      <c r="C608" s="4"/>
      <c r="D608" s="2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22.5" customHeight="1">
      <c r="A609" s="4"/>
      <c r="B609" s="21"/>
      <c r="C609" s="4"/>
      <c r="D609" s="2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22.5" customHeight="1">
      <c r="A610" s="4"/>
      <c r="B610" s="21"/>
      <c r="C610" s="4"/>
      <c r="D610" s="2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22.5" customHeight="1">
      <c r="A611" s="4"/>
      <c r="B611" s="21"/>
      <c r="C611" s="4"/>
      <c r="D611" s="2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22.5" customHeight="1">
      <c r="A612" s="4"/>
      <c r="B612" s="21"/>
      <c r="C612" s="4"/>
      <c r="D612" s="2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22.5" customHeight="1">
      <c r="A613" s="4"/>
      <c r="B613" s="21"/>
      <c r="C613" s="4"/>
      <c r="D613" s="2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22.5" customHeight="1">
      <c r="A614" s="4"/>
      <c r="B614" s="21"/>
      <c r="C614" s="4"/>
      <c r="D614" s="2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22.5" customHeight="1">
      <c r="A615" s="4"/>
      <c r="B615" s="21"/>
      <c r="C615" s="4"/>
      <c r="D615" s="2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22.5" customHeight="1">
      <c r="A616" s="4"/>
      <c r="B616" s="21"/>
      <c r="C616" s="4"/>
      <c r="D616" s="2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22.5" customHeight="1">
      <c r="A617" s="4"/>
      <c r="B617" s="21"/>
      <c r="C617" s="4"/>
      <c r="D617" s="2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22.5" customHeight="1">
      <c r="A618" s="4"/>
      <c r="B618" s="21"/>
      <c r="C618" s="4"/>
      <c r="D618" s="2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22.5" customHeight="1">
      <c r="A619" s="4"/>
      <c r="B619" s="21"/>
      <c r="C619" s="4"/>
      <c r="D619" s="2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22.5" customHeight="1">
      <c r="A620" s="4"/>
      <c r="B620" s="21"/>
      <c r="C620" s="4"/>
      <c r="D620" s="2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22.5" customHeight="1">
      <c r="A621" s="4"/>
      <c r="B621" s="21"/>
      <c r="C621" s="4"/>
      <c r="D621" s="2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22.5" customHeight="1">
      <c r="A622" s="4"/>
      <c r="B622" s="21"/>
      <c r="C622" s="4"/>
      <c r="D622" s="2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22.5" customHeight="1">
      <c r="A623" s="4"/>
      <c r="B623" s="21"/>
      <c r="C623" s="4"/>
      <c r="D623" s="2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22.5" customHeight="1">
      <c r="A624" s="4"/>
      <c r="B624" s="21"/>
      <c r="C624" s="4"/>
      <c r="D624" s="2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22.5" customHeight="1">
      <c r="A625" s="4"/>
      <c r="B625" s="21"/>
      <c r="C625" s="4"/>
      <c r="D625" s="2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22.5" customHeight="1">
      <c r="A626" s="4"/>
      <c r="B626" s="21"/>
      <c r="C626" s="4"/>
      <c r="D626" s="2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22.5" customHeight="1">
      <c r="A627" s="4"/>
      <c r="B627" s="21"/>
      <c r="C627" s="4"/>
      <c r="D627" s="2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22.5" customHeight="1">
      <c r="A628" s="4"/>
      <c r="B628" s="21"/>
      <c r="C628" s="4"/>
      <c r="D628" s="2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22.5" customHeight="1">
      <c r="A629" s="4"/>
      <c r="B629" s="21"/>
      <c r="C629" s="4"/>
      <c r="D629" s="2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22.5" customHeight="1">
      <c r="A630" s="4"/>
      <c r="B630" s="21"/>
      <c r="C630" s="4"/>
      <c r="D630" s="2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22.5" customHeight="1">
      <c r="A631" s="4"/>
      <c r="B631" s="21"/>
      <c r="C631" s="4"/>
      <c r="D631" s="2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22.5" customHeight="1">
      <c r="A632" s="4"/>
      <c r="B632" s="21"/>
      <c r="C632" s="4"/>
      <c r="D632" s="2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22.5" customHeight="1">
      <c r="A633" s="4"/>
      <c r="B633" s="21"/>
      <c r="C633" s="4"/>
      <c r="D633" s="2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22.5" customHeight="1">
      <c r="A634" s="4"/>
      <c r="B634" s="21"/>
      <c r="C634" s="4"/>
      <c r="D634" s="2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22.5" customHeight="1">
      <c r="A635" s="4"/>
      <c r="B635" s="21"/>
      <c r="C635" s="4"/>
      <c r="D635" s="2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22.5" customHeight="1">
      <c r="A636" s="4"/>
      <c r="B636" s="21"/>
      <c r="C636" s="4"/>
      <c r="D636" s="2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22.5" customHeight="1">
      <c r="A637" s="4"/>
      <c r="B637" s="21"/>
      <c r="C637" s="4"/>
      <c r="D637" s="2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22.5" customHeight="1">
      <c r="A638" s="4"/>
      <c r="B638" s="21"/>
      <c r="C638" s="4"/>
      <c r="D638" s="2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22.5" customHeight="1">
      <c r="A639" s="4"/>
      <c r="B639" s="21"/>
      <c r="C639" s="4"/>
      <c r="D639" s="2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22.5" customHeight="1">
      <c r="A640" s="4"/>
      <c r="B640" s="21"/>
      <c r="C640" s="4"/>
      <c r="D640" s="2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22.5" customHeight="1">
      <c r="A641" s="4"/>
      <c r="B641" s="21"/>
      <c r="C641" s="4"/>
      <c r="D641" s="2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22.5" customHeight="1">
      <c r="A642" s="4"/>
      <c r="B642" s="21"/>
      <c r="C642" s="4"/>
      <c r="D642" s="2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22.5" customHeight="1">
      <c r="A643" s="4"/>
      <c r="B643" s="21"/>
      <c r="C643" s="4"/>
      <c r="D643" s="2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22.5" customHeight="1">
      <c r="A644" s="4"/>
      <c r="B644" s="21"/>
      <c r="C644" s="4"/>
      <c r="D644" s="2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22.5" customHeight="1">
      <c r="A645" s="4"/>
      <c r="B645" s="21"/>
      <c r="C645" s="4"/>
      <c r="D645" s="2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22.5" customHeight="1">
      <c r="A646" s="4"/>
      <c r="B646" s="21"/>
      <c r="C646" s="4"/>
      <c r="D646" s="2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22.5" customHeight="1">
      <c r="A647" s="4"/>
      <c r="B647" s="21"/>
      <c r="C647" s="4"/>
      <c r="D647" s="2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22.5" customHeight="1">
      <c r="A648" s="4"/>
      <c r="B648" s="21"/>
      <c r="C648" s="4"/>
      <c r="D648" s="2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22.5" customHeight="1">
      <c r="A649" s="4"/>
      <c r="B649" s="21"/>
      <c r="C649" s="4"/>
      <c r="D649" s="2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22.5" customHeight="1">
      <c r="A650" s="4"/>
      <c r="B650" s="21"/>
      <c r="C650" s="4"/>
      <c r="D650" s="2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22.5" customHeight="1">
      <c r="A651" s="4"/>
      <c r="B651" s="21"/>
      <c r="C651" s="4"/>
      <c r="D651" s="2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22.5" customHeight="1">
      <c r="A652" s="4"/>
      <c r="B652" s="21"/>
      <c r="C652" s="4"/>
      <c r="D652" s="2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22.5" customHeight="1">
      <c r="A653" s="4"/>
      <c r="B653" s="21"/>
      <c r="C653" s="4"/>
      <c r="D653" s="2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22.5" customHeight="1">
      <c r="A654" s="4"/>
      <c r="B654" s="21"/>
      <c r="C654" s="4"/>
      <c r="D654" s="2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22.5" customHeight="1">
      <c r="A655" s="4"/>
      <c r="B655" s="21"/>
      <c r="C655" s="4"/>
      <c r="D655" s="2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22.5" customHeight="1">
      <c r="A656" s="4"/>
      <c r="B656" s="21"/>
      <c r="C656" s="4"/>
      <c r="D656" s="2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22.5" customHeight="1">
      <c r="A657" s="4"/>
      <c r="B657" s="21"/>
      <c r="C657" s="4"/>
      <c r="D657" s="2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22.5" customHeight="1">
      <c r="A658" s="4"/>
      <c r="B658" s="21"/>
      <c r="C658" s="4"/>
      <c r="D658" s="2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22.5" customHeight="1">
      <c r="A659" s="4"/>
      <c r="B659" s="21"/>
      <c r="C659" s="4"/>
      <c r="D659" s="2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22.5" customHeight="1">
      <c r="A660" s="4"/>
      <c r="B660" s="21"/>
      <c r="C660" s="4"/>
      <c r="D660" s="2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22.5" customHeight="1">
      <c r="A661" s="4"/>
      <c r="B661" s="21"/>
      <c r="C661" s="4"/>
      <c r="D661" s="2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22.5" customHeight="1">
      <c r="A662" s="4"/>
      <c r="B662" s="21"/>
      <c r="C662" s="4"/>
      <c r="D662" s="2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22.5" customHeight="1">
      <c r="A663" s="4"/>
      <c r="B663" s="21"/>
      <c r="C663" s="4"/>
      <c r="D663" s="2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22.5" customHeight="1">
      <c r="A664" s="4"/>
      <c r="B664" s="21"/>
      <c r="C664" s="4"/>
      <c r="D664" s="2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22.5" customHeight="1">
      <c r="A665" s="4"/>
      <c r="B665" s="21"/>
      <c r="C665" s="4"/>
      <c r="D665" s="2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22.5" customHeight="1">
      <c r="A666" s="4"/>
      <c r="B666" s="21"/>
      <c r="C666" s="4"/>
      <c r="D666" s="2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22.5" customHeight="1">
      <c r="A667" s="4"/>
      <c r="B667" s="21"/>
      <c r="C667" s="4"/>
      <c r="D667" s="2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22.5" customHeight="1">
      <c r="A668" s="4"/>
      <c r="B668" s="21"/>
      <c r="C668" s="4"/>
      <c r="D668" s="2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22.5" customHeight="1">
      <c r="A669" s="4"/>
      <c r="B669" s="21"/>
      <c r="C669" s="4"/>
      <c r="D669" s="2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22.5" customHeight="1">
      <c r="A670" s="4"/>
      <c r="B670" s="21"/>
      <c r="C670" s="4"/>
      <c r="D670" s="2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22.5" customHeight="1">
      <c r="A671" s="4"/>
      <c r="B671" s="21"/>
      <c r="C671" s="4"/>
      <c r="D671" s="2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22.5" customHeight="1">
      <c r="A672" s="4"/>
      <c r="B672" s="21"/>
      <c r="C672" s="4"/>
      <c r="D672" s="2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22.5" customHeight="1">
      <c r="A673" s="4"/>
      <c r="B673" s="21"/>
      <c r="C673" s="4"/>
      <c r="D673" s="2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22.5" customHeight="1">
      <c r="A674" s="4"/>
      <c r="B674" s="21"/>
      <c r="C674" s="4"/>
      <c r="D674" s="2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22.5" customHeight="1">
      <c r="A675" s="4"/>
      <c r="B675" s="21"/>
      <c r="C675" s="4"/>
      <c r="D675" s="2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22.5" customHeight="1">
      <c r="A676" s="4"/>
      <c r="B676" s="21"/>
      <c r="C676" s="4"/>
      <c r="D676" s="2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22.5" customHeight="1">
      <c r="A677" s="4"/>
      <c r="B677" s="21"/>
      <c r="C677" s="4"/>
      <c r="D677" s="2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22.5" customHeight="1">
      <c r="A678" s="4"/>
      <c r="B678" s="21"/>
      <c r="C678" s="4"/>
      <c r="D678" s="2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22.5" customHeight="1">
      <c r="A679" s="4"/>
      <c r="B679" s="21"/>
      <c r="C679" s="4"/>
      <c r="D679" s="2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22.5" customHeight="1">
      <c r="A680" s="4"/>
      <c r="B680" s="21"/>
      <c r="C680" s="4"/>
      <c r="D680" s="2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22.5" customHeight="1">
      <c r="A681" s="4"/>
      <c r="B681" s="21"/>
      <c r="C681" s="4"/>
      <c r="D681" s="2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22.5" customHeight="1">
      <c r="A682" s="4"/>
      <c r="B682" s="21"/>
      <c r="C682" s="4"/>
      <c r="D682" s="2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22.5" customHeight="1">
      <c r="A683" s="4"/>
      <c r="B683" s="21"/>
      <c r="C683" s="4"/>
      <c r="D683" s="2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22.5" customHeight="1">
      <c r="A684" s="4"/>
      <c r="B684" s="21"/>
      <c r="C684" s="4"/>
      <c r="D684" s="2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22.5" customHeight="1">
      <c r="A685" s="4"/>
      <c r="B685" s="21"/>
      <c r="C685" s="4"/>
      <c r="D685" s="2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22.5" customHeight="1">
      <c r="A686" s="4"/>
      <c r="B686" s="21"/>
      <c r="C686" s="4"/>
      <c r="D686" s="2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22.5" customHeight="1">
      <c r="A687" s="4"/>
      <c r="B687" s="21"/>
      <c r="C687" s="4"/>
      <c r="D687" s="2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22.5" customHeight="1">
      <c r="A688" s="4"/>
      <c r="B688" s="21"/>
      <c r="C688" s="4"/>
      <c r="D688" s="2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22.5" customHeight="1">
      <c r="A689" s="4"/>
      <c r="B689" s="21"/>
      <c r="C689" s="4"/>
      <c r="D689" s="2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22.5" customHeight="1">
      <c r="A690" s="4"/>
      <c r="B690" s="21"/>
      <c r="C690" s="4"/>
      <c r="D690" s="2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22.5" customHeight="1">
      <c r="A691" s="4"/>
      <c r="B691" s="21"/>
      <c r="C691" s="4"/>
      <c r="D691" s="2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22.5" customHeight="1">
      <c r="A692" s="4"/>
      <c r="B692" s="21"/>
      <c r="C692" s="4"/>
      <c r="D692" s="2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22.5" customHeight="1">
      <c r="A693" s="4"/>
      <c r="B693" s="21"/>
      <c r="C693" s="4"/>
      <c r="D693" s="2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22.5" customHeight="1">
      <c r="A694" s="4"/>
      <c r="B694" s="21"/>
      <c r="C694" s="4"/>
      <c r="D694" s="2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22.5" customHeight="1">
      <c r="A695" s="4"/>
      <c r="B695" s="21"/>
      <c r="C695" s="4"/>
      <c r="D695" s="2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22.5" customHeight="1">
      <c r="A696" s="4"/>
      <c r="B696" s="21"/>
      <c r="C696" s="4"/>
      <c r="D696" s="2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22.5" customHeight="1">
      <c r="A697" s="4"/>
      <c r="B697" s="21"/>
      <c r="C697" s="4"/>
      <c r="D697" s="2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22.5" customHeight="1">
      <c r="A698" s="4"/>
      <c r="B698" s="21"/>
      <c r="C698" s="4"/>
      <c r="D698" s="2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22.5" customHeight="1">
      <c r="A699" s="4"/>
      <c r="B699" s="21"/>
      <c r="C699" s="4"/>
      <c r="D699" s="2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22.5" customHeight="1">
      <c r="A700" s="4"/>
      <c r="B700" s="21"/>
      <c r="C700" s="4"/>
      <c r="D700" s="2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22.5" customHeight="1">
      <c r="A701" s="4"/>
      <c r="B701" s="21"/>
      <c r="C701" s="4"/>
      <c r="D701" s="2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22.5" customHeight="1">
      <c r="A702" s="4"/>
      <c r="B702" s="21"/>
      <c r="C702" s="4"/>
      <c r="D702" s="2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22.5" customHeight="1">
      <c r="A703" s="4"/>
      <c r="B703" s="21"/>
      <c r="C703" s="4"/>
      <c r="D703" s="2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22.5" customHeight="1">
      <c r="A704" s="4"/>
      <c r="B704" s="21"/>
      <c r="C704" s="4"/>
      <c r="D704" s="2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22.5" customHeight="1">
      <c r="A705" s="4"/>
      <c r="B705" s="21"/>
      <c r="C705" s="4"/>
      <c r="D705" s="2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22.5" customHeight="1">
      <c r="A706" s="4"/>
      <c r="B706" s="21"/>
      <c r="C706" s="4"/>
      <c r="D706" s="2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22.5" customHeight="1">
      <c r="A707" s="4"/>
      <c r="B707" s="21"/>
      <c r="C707" s="4"/>
      <c r="D707" s="2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22.5" customHeight="1">
      <c r="A708" s="4"/>
      <c r="B708" s="21"/>
      <c r="C708" s="4"/>
      <c r="D708" s="2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22.5" customHeight="1">
      <c r="A709" s="4"/>
      <c r="B709" s="21"/>
      <c r="C709" s="4"/>
      <c r="D709" s="2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22.5" customHeight="1">
      <c r="A710" s="4"/>
      <c r="B710" s="21"/>
      <c r="C710" s="4"/>
      <c r="D710" s="2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22.5" customHeight="1">
      <c r="A711" s="4"/>
      <c r="B711" s="21"/>
      <c r="C711" s="4"/>
      <c r="D711" s="2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22.5" customHeight="1">
      <c r="A712" s="4"/>
      <c r="B712" s="21"/>
      <c r="C712" s="4"/>
      <c r="D712" s="2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22.5" customHeight="1">
      <c r="A713" s="4"/>
      <c r="B713" s="21"/>
      <c r="C713" s="4"/>
      <c r="D713" s="2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22.5" customHeight="1">
      <c r="A714" s="4"/>
      <c r="B714" s="21"/>
      <c r="C714" s="4"/>
      <c r="D714" s="2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22.5" customHeight="1">
      <c r="A715" s="4"/>
      <c r="B715" s="21"/>
      <c r="C715" s="4"/>
      <c r="D715" s="2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22.5" customHeight="1">
      <c r="A716" s="4"/>
      <c r="B716" s="21"/>
      <c r="C716" s="4"/>
      <c r="D716" s="2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22.5" customHeight="1">
      <c r="A717" s="4"/>
      <c r="B717" s="21"/>
      <c r="C717" s="4"/>
      <c r="D717" s="2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22.5" customHeight="1">
      <c r="A718" s="4"/>
      <c r="B718" s="21"/>
      <c r="C718" s="4"/>
      <c r="D718" s="2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22.5" customHeight="1">
      <c r="A719" s="4"/>
      <c r="B719" s="21"/>
      <c r="C719" s="4"/>
      <c r="D719" s="2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22.5" customHeight="1">
      <c r="A720" s="4"/>
      <c r="B720" s="21"/>
      <c r="C720" s="4"/>
      <c r="D720" s="2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22.5" customHeight="1">
      <c r="A721" s="4"/>
      <c r="B721" s="21"/>
      <c r="C721" s="4"/>
      <c r="D721" s="2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22.5" customHeight="1">
      <c r="A722" s="4"/>
      <c r="B722" s="21"/>
      <c r="C722" s="4"/>
      <c r="D722" s="2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22.5" customHeight="1">
      <c r="A723" s="4"/>
      <c r="B723" s="21"/>
      <c r="C723" s="4"/>
      <c r="D723" s="2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22.5" customHeight="1">
      <c r="A724" s="4"/>
      <c r="B724" s="21"/>
      <c r="C724" s="4"/>
      <c r="D724" s="2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22.5" customHeight="1">
      <c r="A725" s="4"/>
      <c r="B725" s="21"/>
      <c r="C725" s="4"/>
      <c r="D725" s="2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22.5" customHeight="1">
      <c r="A726" s="4"/>
      <c r="B726" s="21"/>
      <c r="C726" s="4"/>
      <c r="D726" s="2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22.5" customHeight="1">
      <c r="A727" s="4"/>
      <c r="B727" s="21"/>
      <c r="C727" s="4"/>
      <c r="D727" s="2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22.5" customHeight="1">
      <c r="A728" s="4"/>
      <c r="B728" s="21"/>
      <c r="C728" s="4"/>
      <c r="D728" s="2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22.5" customHeight="1">
      <c r="A729" s="4"/>
      <c r="B729" s="21"/>
      <c r="C729" s="4"/>
      <c r="D729" s="2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22.5" customHeight="1">
      <c r="A730" s="4"/>
      <c r="B730" s="21"/>
      <c r="C730" s="4"/>
      <c r="D730" s="2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22.5" customHeight="1">
      <c r="A731" s="4"/>
      <c r="B731" s="21"/>
      <c r="C731" s="4"/>
      <c r="D731" s="2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22.5" customHeight="1">
      <c r="A732" s="4"/>
      <c r="B732" s="21"/>
      <c r="C732" s="4"/>
      <c r="D732" s="2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22.5" customHeight="1">
      <c r="A733" s="4"/>
      <c r="B733" s="21"/>
      <c r="C733" s="4"/>
      <c r="D733" s="2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22.5" customHeight="1">
      <c r="A734" s="4"/>
      <c r="B734" s="21"/>
      <c r="C734" s="4"/>
      <c r="D734" s="2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22.5" customHeight="1">
      <c r="A735" s="4"/>
      <c r="B735" s="21"/>
      <c r="C735" s="4"/>
      <c r="D735" s="2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22.5" customHeight="1">
      <c r="A736" s="4"/>
      <c r="B736" s="21"/>
      <c r="C736" s="4"/>
      <c r="D736" s="2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22.5" customHeight="1">
      <c r="A737" s="4"/>
      <c r="B737" s="21"/>
      <c r="C737" s="4"/>
      <c r="D737" s="2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22.5" customHeight="1">
      <c r="A738" s="4"/>
      <c r="B738" s="21"/>
      <c r="C738" s="4"/>
      <c r="D738" s="2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22.5" customHeight="1">
      <c r="A739" s="4"/>
      <c r="B739" s="21"/>
      <c r="C739" s="4"/>
      <c r="D739" s="2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22.5" customHeight="1">
      <c r="A740" s="4"/>
      <c r="B740" s="21"/>
      <c r="C740" s="4"/>
      <c r="D740" s="2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22.5" customHeight="1">
      <c r="A741" s="4"/>
      <c r="B741" s="21"/>
      <c r="C741" s="4"/>
      <c r="D741" s="2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22.5" customHeight="1">
      <c r="A742" s="4"/>
      <c r="B742" s="21"/>
      <c r="C742" s="4"/>
      <c r="D742" s="2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22.5" customHeight="1">
      <c r="A743" s="4"/>
      <c r="B743" s="21"/>
      <c r="C743" s="4"/>
      <c r="D743" s="2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22.5" customHeight="1">
      <c r="A744" s="4"/>
      <c r="B744" s="21"/>
      <c r="C744" s="4"/>
      <c r="D744" s="2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22.5" customHeight="1">
      <c r="A745" s="4"/>
      <c r="B745" s="21"/>
      <c r="C745" s="4"/>
      <c r="D745" s="2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22.5" customHeight="1">
      <c r="A746" s="4"/>
      <c r="B746" s="21"/>
      <c r="C746" s="4"/>
      <c r="D746" s="2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22.5" customHeight="1">
      <c r="A747" s="4"/>
      <c r="B747" s="21"/>
      <c r="C747" s="4"/>
      <c r="D747" s="2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22.5" customHeight="1">
      <c r="A748" s="4"/>
      <c r="B748" s="21"/>
      <c r="C748" s="4"/>
      <c r="D748" s="2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22.5" customHeight="1">
      <c r="A749" s="4"/>
      <c r="B749" s="21"/>
      <c r="C749" s="4"/>
      <c r="D749" s="2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22.5" customHeight="1">
      <c r="A750" s="4"/>
      <c r="B750" s="21"/>
      <c r="C750" s="4"/>
      <c r="D750" s="2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22.5" customHeight="1">
      <c r="A751" s="4"/>
      <c r="B751" s="21"/>
      <c r="C751" s="4"/>
      <c r="D751" s="2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22.5" customHeight="1">
      <c r="A752" s="4"/>
      <c r="B752" s="21"/>
      <c r="C752" s="4"/>
      <c r="D752" s="2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22.5" customHeight="1">
      <c r="A753" s="4"/>
      <c r="B753" s="21"/>
      <c r="C753" s="4"/>
      <c r="D753" s="2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22.5" customHeight="1">
      <c r="A754" s="4"/>
      <c r="B754" s="21"/>
      <c r="C754" s="4"/>
      <c r="D754" s="2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22.5" customHeight="1">
      <c r="A755" s="4"/>
      <c r="B755" s="21"/>
      <c r="C755" s="4"/>
      <c r="D755" s="2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22.5" customHeight="1">
      <c r="A756" s="4"/>
      <c r="B756" s="21"/>
      <c r="C756" s="4"/>
      <c r="D756" s="2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22.5" customHeight="1">
      <c r="A757" s="4"/>
      <c r="B757" s="21"/>
      <c r="C757" s="4"/>
      <c r="D757" s="2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22.5" customHeight="1">
      <c r="A758" s="4"/>
      <c r="B758" s="21"/>
      <c r="C758" s="4"/>
      <c r="D758" s="2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22.5" customHeight="1">
      <c r="A759" s="4"/>
      <c r="B759" s="21"/>
      <c r="C759" s="4"/>
      <c r="D759" s="2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22.5" customHeight="1">
      <c r="A760" s="4"/>
      <c r="B760" s="21"/>
      <c r="C760" s="4"/>
      <c r="D760" s="2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22.5" customHeight="1">
      <c r="A761" s="4"/>
      <c r="B761" s="21"/>
      <c r="C761" s="4"/>
      <c r="D761" s="2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22.5" customHeight="1">
      <c r="A762" s="4"/>
      <c r="B762" s="21"/>
      <c r="C762" s="4"/>
      <c r="D762" s="2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22.5" customHeight="1">
      <c r="A763" s="4"/>
      <c r="B763" s="21"/>
      <c r="C763" s="4"/>
      <c r="D763" s="2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22.5" customHeight="1">
      <c r="A764" s="4"/>
      <c r="B764" s="21"/>
      <c r="C764" s="4"/>
      <c r="D764" s="2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22.5" customHeight="1">
      <c r="A765" s="4"/>
      <c r="B765" s="21"/>
      <c r="C765" s="4"/>
      <c r="D765" s="2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22.5" customHeight="1">
      <c r="A766" s="4"/>
      <c r="B766" s="21"/>
      <c r="C766" s="4"/>
      <c r="D766" s="2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22.5" customHeight="1">
      <c r="A767" s="4"/>
      <c r="B767" s="21"/>
      <c r="C767" s="4"/>
      <c r="D767" s="2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22.5" customHeight="1">
      <c r="A768" s="4"/>
      <c r="B768" s="21"/>
      <c r="C768" s="4"/>
      <c r="D768" s="2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22.5" customHeight="1">
      <c r="A769" s="4"/>
      <c r="B769" s="21"/>
      <c r="C769" s="4"/>
      <c r="D769" s="2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22.5" customHeight="1">
      <c r="A770" s="4"/>
      <c r="B770" s="21"/>
      <c r="C770" s="4"/>
      <c r="D770" s="2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22.5" customHeight="1">
      <c r="A771" s="4"/>
      <c r="B771" s="21"/>
      <c r="C771" s="4"/>
      <c r="D771" s="2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22.5" customHeight="1">
      <c r="A772" s="4"/>
      <c r="B772" s="21"/>
      <c r="C772" s="4"/>
      <c r="D772" s="2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22.5" customHeight="1">
      <c r="A773" s="4"/>
      <c r="B773" s="21"/>
      <c r="C773" s="4"/>
      <c r="D773" s="2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22.5" customHeight="1">
      <c r="A774" s="4"/>
      <c r="B774" s="21"/>
      <c r="C774" s="4"/>
      <c r="D774" s="2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22.5" customHeight="1">
      <c r="A775" s="4"/>
      <c r="B775" s="21"/>
      <c r="C775" s="4"/>
      <c r="D775" s="2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22.5" customHeight="1">
      <c r="A776" s="4"/>
      <c r="B776" s="21"/>
      <c r="C776" s="4"/>
      <c r="D776" s="2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22.5" customHeight="1">
      <c r="A777" s="4"/>
      <c r="B777" s="21"/>
      <c r="C777" s="4"/>
      <c r="D777" s="2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22.5" customHeight="1">
      <c r="A778" s="4"/>
      <c r="B778" s="21"/>
      <c r="C778" s="4"/>
      <c r="D778" s="2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22.5" customHeight="1">
      <c r="A779" s="4"/>
      <c r="B779" s="21"/>
      <c r="C779" s="4"/>
      <c r="D779" s="2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22.5" customHeight="1">
      <c r="A780" s="4"/>
      <c r="B780" s="21"/>
      <c r="C780" s="4"/>
      <c r="D780" s="2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22.5" customHeight="1">
      <c r="A781" s="4"/>
      <c r="B781" s="21"/>
      <c r="C781" s="4"/>
      <c r="D781" s="2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22.5" customHeight="1">
      <c r="A782" s="4"/>
      <c r="B782" s="21"/>
      <c r="C782" s="4"/>
      <c r="D782" s="2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22.5" customHeight="1">
      <c r="A783" s="4"/>
      <c r="B783" s="21"/>
      <c r="C783" s="4"/>
      <c r="D783" s="2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22.5" customHeight="1">
      <c r="A784" s="4"/>
      <c r="B784" s="21"/>
      <c r="C784" s="4"/>
      <c r="D784" s="2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22.5" customHeight="1">
      <c r="A785" s="4"/>
      <c r="B785" s="21"/>
      <c r="C785" s="4"/>
      <c r="D785" s="2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22.5" customHeight="1">
      <c r="A786" s="4"/>
      <c r="B786" s="21"/>
      <c r="C786" s="4"/>
      <c r="D786" s="2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22.5" customHeight="1">
      <c r="A787" s="4"/>
      <c r="B787" s="21"/>
      <c r="C787" s="4"/>
      <c r="D787" s="2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22.5" customHeight="1">
      <c r="A788" s="4"/>
      <c r="B788" s="21"/>
      <c r="C788" s="4"/>
      <c r="D788" s="2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22.5" customHeight="1">
      <c r="A789" s="4"/>
      <c r="B789" s="21"/>
      <c r="C789" s="4"/>
      <c r="D789" s="2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22.5" customHeight="1">
      <c r="A790" s="4"/>
      <c r="B790" s="21"/>
      <c r="C790" s="4"/>
      <c r="D790" s="2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22.5" customHeight="1">
      <c r="A791" s="4"/>
      <c r="B791" s="21"/>
      <c r="C791" s="4"/>
      <c r="D791" s="2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22.5" customHeight="1">
      <c r="A792" s="4"/>
      <c r="B792" s="21"/>
      <c r="C792" s="4"/>
      <c r="D792" s="2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22.5" customHeight="1">
      <c r="A793" s="4"/>
      <c r="B793" s="21"/>
      <c r="C793" s="4"/>
      <c r="D793" s="2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22.5" customHeight="1">
      <c r="A794" s="4"/>
      <c r="B794" s="21"/>
      <c r="C794" s="4"/>
      <c r="D794" s="2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22.5" customHeight="1">
      <c r="A795" s="4"/>
      <c r="B795" s="21"/>
      <c r="C795" s="4"/>
      <c r="D795" s="2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22.5" customHeight="1">
      <c r="A796" s="4"/>
      <c r="B796" s="21"/>
      <c r="C796" s="4"/>
      <c r="D796" s="2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22.5" customHeight="1">
      <c r="A797" s="4"/>
      <c r="B797" s="21"/>
      <c r="C797" s="4"/>
      <c r="D797" s="2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22.5" customHeight="1">
      <c r="A798" s="4"/>
      <c r="B798" s="21"/>
      <c r="C798" s="4"/>
      <c r="D798" s="2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22.5" customHeight="1">
      <c r="A799" s="4"/>
      <c r="B799" s="21"/>
      <c r="C799" s="4"/>
      <c r="D799" s="2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22.5" customHeight="1">
      <c r="A800" s="4"/>
      <c r="B800" s="21"/>
      <c r="C800" s="4"/>
      <c r="D800" s="2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22.5" customHeight="1">
      <c r="A801" s="4"/>
      <c r="B801" s="21"/>
      <c r="C801" s="4"/>
      <c r="D801" s="2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22.5" customHeight="1">
      <c r="A802" s="4"/>
      <c r="B802" s="21"/>
      <c r="C802" s="4"/>
      <c r="D802" s="2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22.5" customHeight="1">
      <c r="A803" s="4"/>
      <c r="B803" s="21"/>
      <c r="C803" s="4"/>
      <c r="D803" s="2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22.5" customHeight="1">
      <c r="A804" s="4"/>
      <c r="B804" s="21"/>
      <c r="C804" s="4"/>
      <c r="D804" s="2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22.5" customHeight="1">
      <c r="A805" s="4"/>
      <c r="B805" s="21"/>
      <c r="C805" s="4"/>
      <c r="D805" s="2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22.5" customHeight="1">
      <c r="A806" s="4"/>
      <c r="B806" s="21"/>
      <c r="C806" s="4"/>
      <c r="D806" s="2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22.5" customHeight="1">
      <c r="A807" s="4"/>
      <c r="B807" s="21"/>
      <c r="C807" s="4"/>
      <c r="D807" s="2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22.5" customHeight="1">
      <c r="A808" s="4"/>
      <c r="B808" s="21"/>
      <c r="C808" s="4"/>
      <c r="D808" s="2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22.5" customHeight="1">
      <c r="A809" s="4"/>
      <c r="B809" s="21"/>
      <c r="C809" s="4"/>
      <c r="D809" s="2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22.5" customHeight="1">
      <c r="A810" s="4"/>
      <c r="B810" s="21"/>
      <c r="C810" s="4"/>
      <c r="D810" s="2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22.5" customHeight="1">
      <c r="A811" s="4"/>
      <c r="B811" s="21"/>
      <c r="C811" s="4"/>
      <c r="D811" s="2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22.5" customHeight="1">
      <c r="A812" s="4"/>
      <c r="B812" s="21"/>
      <c r="C812" s="4"/>
      <c r="D812" s="2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22.5" customHeight="1">
      <c r="A813" s="4"/>
      <c r="B813" s="21"/>
      <c r="C813" s="4"/>
      <c r="D813" s="2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22.5" customHeight="1">
      <c r="A814" s="4"/>
      <c r="B814" s="21"/>
      <c r="C814" s="4"/>
      <c r="D814" s="2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22.5" customHeight="1">
      <c r="A815" s="4"/>
      <c r="B815" s="21"/>
      <c r="C815" s="4"/>
      <c r="D815" s="2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22.5" customHeight="1">
      <c r="A816" s="4"/>
      <c r="B816" s="21"/>
      <c r="C816" s="4"/>
      <c r="D816" s="2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22.5" customHeight="1">
      <c r="A817" s="4"/>
      <c r="B817" s="21"/>
      <c r="C817" s="4"/>
      <c r="D817" s="2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22.5" customHeight="1">
      <c r="A818" s="4"/>
      <c r="B818" s="21"/>
      <c r="C818" s="4"/>
      <c r="D818" s="2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22.5" customHeight="1">
      <c r="A819" s="4"/>
      <c r="B819" s="21"/>
      <c r="C819" s="4"/>
      <c r="D819" s="2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22.5" customHeight="1">
      <c r="A820" s="4"/>
      <c r="B820" s="21"/>
      <c r="C820" s="4"/>
      <c r="D820" s="2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22.5" customHeight="1">
      <c r="A821" s="4"/>
      <c r="B821" s="21"/>
      <c r="C821" s="4"/>
      <c r="D821" s="2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22.5" customHeight="1">
      <c r="A822" s="4"/>
      <c r="B822" s="21"/>
      <c r="C822" s="4"/>
      <c r="D822" s="2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22.5" customHeight="1">
      <c r="A823" s="4"/>
      <c r="B823" s="21"/>
      <c r="C823" s="4"/>
      <c r="D823" s="2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22.5" customHeight="1">
      <c r="A824" s="4"/>
      <c r="B824" s="21"/>
      <c r="C824" s="4"/>
      <c r="D824" s="2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22.5" customHeight="1">
      <c r="A825" s="4"/>
      <c r="B825" s="21"/>
      <c r="C825" s="4"/>
      <c r="D825" s="2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22.5" customHeight="1">
      <c r="A826" s="4"/>
      <c r="B826" s="21"/>
      <c r="C826" s="4"/>
      <c r="D826" s="2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22.5" customHeight="1">
      <c r="A827" s="4"/>
      <c r="B827" s="21"/>
      <c r="C827" s="4"/>
      <c r="D827" s="2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22.5" customHeight="1">
      <c r="A828" s="4"/>
      <c r="B828" s="21"/>
      <c r="C828" s="4"/>
      <c r="D828" s="2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22.5" customHeight="1">
      <c r="A829" s="4"/>
      <c r="B829" s="21"/>
      <c r="C829" s="4"/>
      <c r="D829" s="2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22.5" customHeight="1">
      <c r="A830" s="4"/>
      <c r="B830" s="21"/>
      <c r="C830" s="4"/>
      <c r="D830" s="2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22.5" customHeight="1">
      <c r="A831" s="4"/>
      <c r="B831" s="21"/>
      <c r="C831" s="4"/>
      <c r="D831" s="2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22.5" customHeight="1">
      <c r="A832" s="4"/>
      <c r="B832" s="21"/>
      <c r="C832" s="4"/>
      <c r="D832" s="2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22.5" customHeight="1">
      <c r="A833" s="4"/>
      <c r="B833" s="21"/>
      <c r="C833" s="4"/>
      <c r="D833" s="2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22.5" customHeight="1">
      <c r="A834" s="4"/>
      <c r="B834" s="21"/>
      <c r="C834" s="4"/>
      <c r="D834" s="2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22.5" customHeight="1">
      <c r="A835" s="4"/>
      <c r="B835" s="21"/>
      <c r="C835" s="4"/>
      <c r="D835" s="2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22.5" customHeight="1">
      <c r="A836" s="4"/>
      <c r="B836" s="21"/>
      <c r="C836" s="4"/>
      <c r="D836" s="2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22.5" customHeight="1">
      <c r="A837" s="4"/>
      <c r="B837" s="21"/>
      <c r="C837" s="4"/>
      <c r="D837" s="2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22.5" customHeight="1">
      <c r="A838" s="4"/>
      <c r="B838" s="21"/>
      <c r="C838" s="4"/>
      <c r="D838" s="2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22.5" customHeight="1">
      <c r="A839" s="4"/>
      <c r="B839" s="21"/>
      <c r="C839" s="4"/>
      <c r="D839" s="2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22.5" customHeight="1">
      <c r="A840" s="4"/>
      <c r="B840" s="21"/>
      <c r="C840" s="4"/>
      <c r="D840" s="2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22.5" customHeight="1">
      <c r="A841" s="4"/>
      <c r="B841" s="21"/>
      <c r="C841" s="4"/>
      <c r="D841" s="2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22.5" customHeight="1">
      <c r="A842" s="4"/>
      <c r="B842" s="21"/>
      <c r="C842" s="4"/>
      <c r="D842" s="2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22.5" customHeight="1">
      <c r="A843" s="4"/>
      <c r="B843" s="21"/>
      <c r="C843" s="4"/>
      <c r="D843" s="2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22.5" customHeight="1">
      <c r="A844" s="4"/>
      <c r="B844" s="21"/>
      <c r="C844" s="4"/>
      <c r="D844" s="2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22.5" customHeight="1">
      <c r="A845" s="4"/>
      <c r="B845" s="21"/>
      <c r="C845" s="4"/>
      <c r="D845" s="2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22.5" customHeight="1">
      <c r="A846" s="4"/>
      <c r="B846" s="21"/>
      <c r="C846" s="4"/>
      <c r="D846" s="2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22.5" customHeight="1">
      <c r="A847" s="4"/>
      <c r="B847" s="21"/>
      <c r="C847" s="4"/>
      <c r="D847" s="2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22.5" customHeight="1">
      <c r="A848" s="4"/>
      <c r="B848" s="21"/>
      <c r="C848" s="4"/>
      <c r="D848" s="2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22.5" customHeight="1">
      <c r="A849" s="4"/>
      <c r="B849" s="21"/>
      <c r="C849" s="4"/>
      <c r="D849" s="2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22.5" customHeight="1">
      <c r="A850" s="4"/>
      <c r="B850" s="21"/>
      <c r="C850" s="4"/>
      <c r="D850" s="2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22.5" customHeight="1">
      <c r="A851" s="4"/>
      <c r="B851" s="21"/>
      <c r="C851" s="4"/>
      <c r="D851" s="2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22.5" customHeight="1">
      <c r="A852" s="4"/>
      <c r="B852" s="21"/>
      <c r="C852" s="4"/>
      <c r="D852" s="2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22.5" customHeight="1">
      <c r="A853" s="4"/>
      <c r="B853" s="21"/>
      <c r="C853" s="4"/>
      <c r="D853" s="2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22.5" customHeight="1">
      <c r="A854" s="4"/>
      <c r="B854" s="21"/>
      <c r="C854" s="4"/>
      <c r="D854" s="2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22.5" customHeight="1">
      <c r="A855" s="4"/>
      <c r="B855" s="21"/>
      <c r="C855" s="4"/>
      <c r="D855" s="2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22.5" customHeight="1">
      <c r="A856" s="4"/>
      <c r="B856" s="21"/>
      <c r="C856" s="4"/>
      <c r="D856" s="2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22.5" customHeight="1">
      <c r="A857" s="4"/>
      <c r="B857" s="21"/>
      <c r="C857" s="4"/>
      <c r="D857" s="2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22.5" customHeight="1">
      <c r="A858" s="4"/>
      <c r="B858" s="21"/>
      <c r="C858" s="4"/>
      <c r="D858" s="2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22.5" customHeight="1">
      <c r="A859" s="4"/>
      <c r="B859" s="21"/>
      <c r="C859" s="4"/>
      <c r="D859" s="2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22.5" customHeight="1">
      <c r="A860" s="4"/>
      <c r="B860" s="21"/>
      <c r="C860" s="4"/>
      <c r="D860" s="2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22.5" customHeight="1">
      <c r="A861" s="4"/>
      <c r="B861" s="21"/>
      <c r="C861" s="4"/>
      <c r="D861" s="2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22.5" customHeight="1">
      <c r="A862" s="4"/>
      <c r="B862" s="21"/>
      <c r="C862" s="4"/>
      <c r="D862" s="2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22.5" customHeight="1">
      <c r="A863" s="4"/>
      <c r="B863" s="21"/>
      <c r="C863" s="4"/>
      <c r="D863" s="2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22.5" customHeight="1">
      <c r="A864" s="4"/>
      <c r="B864" s="21"/>
      <c r="C864" s="4"/>
      <c r="D864" s="2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22.5" customHeight="1">
      <c r="A865" s="4"/>
      <c r="B865" s="21"/>
      <c r="C865" s="4"/>
      <c r="D865" s="2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22.5" customHeight="1">
      <c r="A866" s="4"/>
      <c r="B866" s="21"/>
      <c r="C866" s="4"/>
      <c r="D866" s="2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22.5" customHeight="1">
      <c r="A867" s="4"/>
      <c r="B867" s="21"/>
      <c r="C867" s="4"/>
      <c r="D867" s="2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22.5" customHeight="1">
      <c r="A868" s="4"/>
      <c r="B868" s="21"/>
      <c r="C868" s="4"/>
      <c r="D868" s="2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22.5" customHeight="1">
      <c r="A869" s="4"/>
      <c r="B869" s="21"/>
      <c r="C869" s="4"/>
      <c r="D869" s="2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22.5" customHeight="1">
      <c r="A870" s="4"/>
      <c r="B870" s="21"/>
      <c r="C870" s="4"/>
      <c r="D870" s="2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22.5" customHeight="1">
      <c r="A871" s="4"/>
      <c r="B871" s="21"/>
      <c r="C871" s="4"/>
      <c r="D871" s="2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22.5" customHeight="1">
      <c r="A872" s="4"/>
      <c r="B872" s="21"/>
      <c r="C872" s="4"/>
      <c r="D872" s="2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22.5" customHeight="1">
      <c r="A873" s="4"/>
      <c r="B873" s="21"/>
      <c r="C873" s="4"/>
      <c r="D873" s="2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22.5" customHeight="1">
      <c r="A874" s="4"/>
      <c r="B874" s="21"/>
      <c r="C874" s="4"/>
      <c r="D874" s="2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22.5" customHeight="1">
      <c r="A875" s="4"/>
      <c r="B875" s="21"/>
      <c r="C875" s="4"/>
      <c r="D875" s="2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22.5" customHeight="1">
      <c r="A876" s="4"/>
      <c r="B876" s="21"/>
      <c r="C876" s="4"/>
      <c r="D876" s="2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22.5" customHeight="1">
      <c r="A877" s="4"/>
      <c r="B877" s="21"/>
      <c r="C877" s="4"/>
      <c r="D877" s="2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22.5" customHeight="1">
      <c r="A878" s="4"/>
      <c r="B878" s="21"/>
      <c r="C878" s="4"/>
      <c r="D878" s="2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22.5" customHeight="1">
      <c r="A879" s="4"/>
      <c r="B879" s="21"/>
      <c r="C879" s="4"/>
      <c r="D879" s="2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22.5" customHeight="1">
      <c r="A880" s="4"/>
      <c r="B880" s="21"/>
      <c r="C880" s="4"/>
      <c r="D880" s="2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22.5" customHeight="1">
      <c r="A881" s="4"/>
      <c r="B881" s="21"/>
      <c r="C881" s="4"/>
      <c r="D881" s="2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22.5" customHeight="1">
      <c r="A882" s="4"/>
      <c r="B882" s="21"/>
      <c r="C882" s="4"/>
      <c r="D882" s="2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22.5" customHeight="1">
      <c r="A883" s="4"/>
      <c r="B883" s="21"/>
      <c r="C883" s="4"/>
      <c r="D883" s="2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22.5" customHeight="1">
      <c r="A884" s="4"/>
      <c r="B884" s="21"/>
      <c r="C884" s="4"/>
      <c r="D884" s="2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22.5" customHeight="1">
      <c r="A885" s="4"/>
      <c r="B885" s="21"/>
      <c r="C885" s="4"/>
      <c r="D885" s="2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22.5" customHeight="1">
      <c r="A886" s="4"/>
      <c r="B886" s="21"/>
      <c r="C886" s="4"/>
      <c r="D886" s="2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22.5" customHeight="1">
      <c r="A887" s="4"/>
      <c r="B887" s="21"/>
      <c r="C887" s="4"/>
      <c r="D887" s="2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22.5" customHeight="1">
      <c r="A888" s="4"/>
      <c r="B888" s="21"/>
      <c r="C888" s="4"/>
      <c r="D888" s="2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22.5" customHeight="1">
      <c r="A889" s="4"/>
      <c r="B889" s="21"/>
      <c r="C889" s="4"/>
      <c r="D889" s="2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22.5" customHeight="1">
      <c r="A890" s="4"/>
      <c r="B890" s="21"/>
      <c r="C890" s="4"/>
      <c r="D890" s="2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22.5" customHeight="1">
      <c r="A891" s="4"/>
      <c r="B891" s="21"/>
      <c r="C891" s="4"/>
      <c r="D891" s="2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22.5" customHeight="1">
      <c r="A892" s="4"/>
      <c r="B892" s="21"/>
      <c r="C892" s="4"/>
      <c r="D892" s="2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22.5" customHeight="1">
      <c r="A893" s="4"/>
      <c r="B893" s="21"/>
      <c r="C893" s="4"/>
      <c r="D893" s="2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22.5" customHeight="1">
      <c r="A894" s="4"/>
      <c r="B894" s="21"/>
      <c r="C894" s="4"/>
      <c r="D894" s="2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22.5" customHeight="1">
      <c r="A895" s="4"/>
      <c r="B895" s="21"/>
      <c r="C895" s="4"/>
      <c r="D895" s="2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22.5" customHeight="1">
      <c r="A896" s="4"/>
      <c r="B896" s="21"/>
      <c r="C896" s="4"/>
      <c r="D896" s="2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22.5" customHeight="1">
      <c r="A897" s="4"/>
      <c r="B897" s="21"/>
      <c r="C897" s="4"/>
      <c r="D897" s="2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22.5" customHeight="1">
      <c r="A898" s="4"/>
      <c r="B898" s="21"/>
      <c r="C898" s="4"/>
      <c r="D898" s="2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22.5" customHeight="1">
      <c r="A899" s="4"/>
      <c r="B899" s="21"/>
      <c r="C899" s="4"/>
      <c r="D899" s="2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22.5" customHeight="1">
      <c r="A900" s="4"/>
      <c r="B900" s="21"/>
      <c r="C900" s="4"/>
      <c r="D900" s="2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22.5" customHeight="1">
      <c r="A901" s="4"/>
      <c r="B901" s="21"/>
      <c r="C901" s="4"/>
      <c r="D901" s="2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22.5" customHeight="1">
      <c r="A902" s="4"/>
      <c r="B902" s="21"/>
      <c r="C902" s="4"/>
      <c r="D902" s="2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22.5" customHeight="1">
      <c r="A903" s="4"/>
      <c r="B903" s="21"/>
      <c r="C903" s="4"/>
      <c r="D903" s="2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22.5" customHeight="1">
      <c r="A904" s="4"/>
      <c r="B904" s="21"/>
      <c r="C904" s="4"/>
      <c r="D904" s="2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22.5" customHeight="1">
      <c r="A905" s="4"/>
      <c r="B905" s="21"/>
      <c r="C905" s="4"/>
      <c r="D905" s="2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22.5" customHeight="1">
      <c r="A906" s="4"/>
      <c r="B906" s="21"/>
      <c r="C906" s="4"/>
      <c r="D906" s="2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22.5" customHeight="1">
      <c r="A907" s="4"/>
      <c r="B907" s="21"/>
      <c r="C907" s="4"/>
      <c r="D907" s="2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22.5" customHeight="1">
      <c r="A908" s="4"/>
      <c r="B908" s="21"/>
      <c r="C908" s="4"/>
      <c r="D908" s="2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22.5" customHeight="1">
      <c r="A909" s="4"/>
      <c r="B909" s="21"/>
      <c r="C909" s="4"/>
      <c r="D909" s="2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22.5" customHeight="1">
      <c r="A910" s="4"/>
      <c r="B910" s="21"/>
      <c r="C910" s="4"/>
      <c r="D910" s="2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22.5" customHeight="1">
      <c r="A911" s="4"/>
      <c r="B911" s="21"/>
      <c r="C911" s="4"/>
      <c r="D911" s="2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22.5" customHeight="1">
      <c r="A912" s="4"/>
      <c r="B912" s="21"/>
      <c r="C912" s="4"/>
      <c r="D912" s="2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22.5" customHeight="1">
      <c r="A913" s="4"/>
      <c r="B913" s="21"/>
      <c r="C913" s="4"/>
      <c r="D913" s="2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22.5" customHeight="1">
      <c r="A914" s="4"/>
      <c r="B914" s="21"/>
      <c r="C914" s="4"/>
      <c r="D914" s="2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22.5" customHeight="1">
      <c r="A915" s="4"/>
      <c r="B915" s="21"/>
      <c r="C915" s="4"/>
      <c r="D915" s="2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22.5" customHeight="1">
      <c r="A916" s="4"/>
      <c r="B916" s="21"/>
      <c r="C916" s="4"/>
      <c r="D916" s="2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22.5" customHeight="1">
      <c r="A917" s="4"/>
      <c r="B917" s="21"/>
      <c r="C917" s="4"/>
      <c r="D917" s="2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22.5" customHeight="1">
      <c r="A918" s="4"/>
      <c r="B918" s="21"/>
      <c r="C918" s="4"/>
      <c r="D918" s="2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22.5" customHeight="1">
      <c r="A919" s="4"/>
      <c r="B919" s="21"/>
      <c r="C919" s="4"/>
      <c r="D919" s="2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22.5" customHeight="1">
      <c r="A920" s="4"/>
      <c r="B920" s="21"/>
      <c r="C920" s="4"/>
      <c r="D920" s="2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22.5" customHeight="1">
      <c r="A921" s="4"/>
      <c r="B921" s="21"/>
      <c r="C921" s="4"/>
      <c r="D921" s="2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22.5" customHeight="1">
      <c r="A922" s="4"/>
      <c r="B922" s="21"/>
      <c r="C922" s="4"/>
      <c r="D922" s="2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22.5" customHeight="1">
      <c r="A923" s="4"/>
      <c r="B923" s="21"/>
      <c r="C923" s="4"/>
      <c r="D923" s="2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22.5" customHeight="1">
      <c r="A924" s="4"/>
      <c r="B924" s="21"/>
      <c r="C924" s="4"/>
      <c r="D924" s="2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22.5" customHeight="1">
      <c r="A925" s="4"/>
      <c r="B925" s="21"/>
      <c r="C925" s="4"/>
      <c r="D925" s="2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22.5" customHeight="1">
      <c r="A926" s="4"/>
      <c r="B926" s="21"/>
      <c r="C926" s="4"/>
      <c r="D926" s="2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22.5" customHeight="1">
      <c r="A927" s="4"/>
      <c r="B927" s="21"/>
      <c r="C927" s="4"/>
      <c r="D927" s="2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22.5" customHeight="1">
      <c r="A928" s="4"/>
      <c r="B928" s="21"/>
      <c r="C928" s="4"/>
      <c r="D928" s="2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22.5" customHeight="1">
      <c r="A929" s="4"/>
      <c r="B929" s="21"/>
      <c r="C929" s="4"/>
      <c r="D929" s="2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22.5" customHeight="1">
      <c r="A930" s="4"/>
      <c r="B930" s="21"/>
      <c r="C930" s="4"/>
      <c r="D930" s="2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22.5" customHeight="1">
      <c r="A931" s="4"/>
      <c r="B931" s="21"/>
      <c r="C931" s="4"/>
      <c r="D931" s="2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22.5" customHeight="1">
      <c r="A932" s="4"/>
      <c r="B932" s="21"/>
      <c r="C932" s="4"/>
      <c r="D932" s="2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22.5" customHeight="1">
      <c r="A933" s="4"/>
      <c r="B933" s="21"/>
      <c r="C933" s="4"/>
      <c r="D933" s="2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22.5" customHeight="1">
      <c r="A934" s="4"/>
      <c r="B934" s="21"/>
      <c r="C934" s="4"/>
      <c r="D934" s="2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22.5" customHeight="1">
      <c r="A935" s="4"/>
      <c r="B935" s="21"/>
      <c r="C935" s="4"/>
      <c r="D935" s="2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22.5" customHeight="1">
      <c r="A936" s="4"/>
      <c r="B936" s="21"/>
      <c r="C936" s="4"/>
      <c r="D936" s="2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22.5" customHeight="1">
      <c r="A937" s="4"/>
      <c r="B937" s="21"/>
      <c r="C937" s="4"/>
      <c r="D937" s="2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22.5" customHeight="1">
      <c r="A938" s="4"/>
      <c r="B938" s="21"/>
      <c r="C938" s="4"/>
      <c r="D938" s="2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22.5" customHeight="1">
      <c r="A939" s="4"/>
      <c r="B939" s="21"/>
      <c r="C939" s="4"/>
      <c r="D939" s="2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22.5" customHeight="1">
      <c r="A940" s="4"/>
      <c r="B940" s="21"/>
      <c r="C940" s="4"/>
      <c r="D940" s="2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22.5" customHeight="1">
      <c r="A941" s="4"/>
      <c r="B941" s="21"/>
      <c r="C941" s="4"/>
      <c r="D941" s="2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22.5" customHeight="1">
      <c r="A942" s="4"/>
      <c r="B942" s="21"/>
      <c r="C942" s="4"/>
      <c r="D942" s="2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22.5" customHeight="1">
      <c r="A943" s="4"/>
      <c r="B943" s="21"/>
      <c r="C943" s="4"/>
      <c r="D943" s="2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22.5" customHeight="1">
      <c r="A944" s="4"/>
      <c r="B944" s="21"/>
      <c r="C944" s="4"/>
      <c r="D944" s="2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22.5" customHeight="1">
      <c r="A945" s="4"/>
      <c r="B945" s="21"/>
      <c r="C945" s="4"/>
      <c r="D945" s="2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22.5" customHeight="1">
      <c r="A946" s="4"/>
      <c r="B946" s="21"/>
      <c r="C946" s="4"/>
      <c r="D946" s="2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22.5" customHeight="1">
      <c r="A947" s="4"/>
      <c r="B947" s="21"/>
      <c r="C947" s="4"/>
      <c r="D947" s="2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22.5" customHeight="1">
      <c r="A948" s="4"/>
      <c r="B948" s="21"/>
      <c r="C948" s="4"/>
      <c r="D948" s="2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22.5" customHeight="1">
      <c r="A949" s="4"/>
      <c r="B949" s="21"/>
      <c r="C949" s="4"/>
      <c r="D949" s="2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22.5" customHeight="1">
      <c r="A950" s="4"/>
      <c r="B950" s="21"/>
      <c r="C950" s="4"/>
      <c r="D950" s="2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22.5" customHeight="1">
      <c r="A951" s="4"/>
      <c r="B951" s="21"/>
      <c r="C951" s="4"/>
      <c r="D951" s="2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22.5" customHeight="1">
      <c r="A952" s="4"/>
      <c r="B952" s="21"/>
      <c r="C952" s="4"/>
      <c r="D952" s="2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22.5" customHeight="1">
      <c r="A953" s="4"/>
      <c r="B953" s="21"/>
      <c r="C953" s="4"/>
      <c r="D953" s="2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22.5" customHeight="1">
      <c r="A954" s="4"/>
      <c r="B954" s="21"/>
      <c r="C954" s="4"/>
      <c r="D954" s="2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22.5" customHeight="1">
      <c r="A955" s="4"/>
      <c r="B955" s="21"/>
      <c r="C955" s="4"/>
      <c r="D955" s="2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22.5" customHeight="1">
      <c r="A956" s="4"/>
      <c r="B956" s="21"/>
      <c r="C956" s="4"/>
      <c r="D956" s="2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22.5" customHeight="1">
      <c r="A957" s="4"/>
      <c r="B957" s="21"/>
      <c r="C957" s="4"/>
      <c r="D957" s="2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22.5" customHeight="1">
      <c r="A958" s="4"/>
      <c r="B958" s="21"/>
      <c r="C958" s="4"/>
      <c r="D958" s="2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22.5" customHeight="1">
      <c r="A959" s="4"/>
      <c r="B959" s="21"/>
      <c r="C959" s="4"/>
      <c r="D959" s="2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22.5" customHeight="1">
      <c r="A960" s="4"/>
      <c r="B960" s="21"/>
      <c r="C960" s="4"/>
      <c r="D960" s="2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22.5" customHeight="1">
      <c r="A961" s="4"/>
      <c r="B961" s="21"/>
      <c r="C961" s="4"/>
      <c r="D961" s="2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22.5" customHeight="1">
      <c r="A962" s="4"/>
      <c r="B962" s="21"/>
      <c r="C962" s="4"/>
      <c r="D962" s="2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22.5" customHeight="1">
      <c r="A963" s="4"/>
      <c r="B963" s="21"/>
      <c r="C963" s="4"/>
      <c r="D963" s="2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22.5" customHeight="1">
      <c r="A964" s="4"/>
      <c r="B964" s="21"/>
      <c r="C964" s="4"/>
      <c r="D964" s="2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22.5" customHeight="1">
      <c r="A965" s="4"/>
      <c r="B965" s="21"/>
      <c r="C965" s="4"/>
      <c r="D965" s="2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22.5" customHeight="1">
      <c r="A966" s="4"/>
      <c r="B966" s="21"/>
      <c r="C966" s="4"/>
      <c r="D966" s="2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22.5" customHeight="1">
      <c r="A967" s="4"/>
      <c r="B967" s="21"/>
      <c r="C967" s="4"/>
      <c r="D967" s="2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22.5" customHeight="1">
      <c r="A968" s="4"/>
      <c r="B968" s="21"/>
      <c r="C968" s="4"/>
      <c r="D968" s="2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22.5" customHeight="1">
      <c r="A969" s="4"/>
      <c r="B969" s="21"/>
      <c r="C969" s="4"/>
      <c r="D969" s="2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22.5" customHeight="1">
      <c r="A970" s="4"/>
      <c r="B970" s="21"/>
      <c r="C970" s="4"/>
      <c r="D970" s="2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22.5" customHeight="1">
      <c r="A971" s="4"/>
      <c r="B971" s="21"/>
      <c r="C971" s="4"/>
      <c r="D971" s="2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22.5" customHeight="1">
      <c r="A972" s="4"/>
      <c r="B972" s="21"/>
      <c r="C972" s="4"/>
      <c r="D972" s="2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22.5" customHeight="1">
      <c r="A973" s="4"/>
      <c r="B973" s="21"/>
      <c r="C973" s="4"/>
      <c r="D973" s="2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22.5" customHeight="1">
      <c r="A974" s="4"/>
      <c r="B974" s="21"/>
      <c r="C974" s="4"/>
      <c r="D974" s="2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22.5" customHeight="1">
      <c r="A975" s="4"/>
      <c r="B975" s="21"/>
      <c r="C975" s="4"/>
      <c r="D975" s="2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22.5" customHeight="1">
      <c r="A976" s="4"/>
      <c r="B976" s="21"/>
      <c r="C976" s="4"/>
      <c r="D976" s="2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22.5" customHeight="1">
      <c r="A977" s="4"/>
      <c r="B977" s="21"/>
      <c r="C977" s="4"/>
      <c r="D977" s="2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22.5" customHeight="1">
      <c r="A978" s="4"/>
      <c r="B978" s="21"/>
      <c r="C978" s="4"/>
      <c r="D978" s="2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22.5" customHeight="1">
      <c r="A979" s="4"/>
      <c r="B979" s="21"/>
      <c r="C979" s="4"/>
      <c r="D979" s="2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22.5" customHeight="1">
      <c r="A980" s="4"/>
      <c r="B980" s="21"/>
      <c r="C980" s="4"/>
      <c r="D980" s="2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22.5" customHeight="1">
      <c r="A981" s="4"/>
      <c r="B981" s="21"/>
      <c r="C981" s="4"/>
      <c r="D981" s="2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22.5" customHeight="1">
      <c r="A982" s="4"/>
      <c r="B982" s="21"/>
      <c r="C982" s="4"/>
      <c r="D982" s="2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22.5" customHeight="1">
      <c r="A983" s="4"/>
      <c r="B983" s="21"/>
      <c r="C983" s="4"/>
      <c r="D983" s="2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22.5" customHeight="1">
      <c r="A984" s="4"/>
      <c r="B984" s="21"/>
      <c r="C984" s="4"/>
      <c r="D984" s="2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7.5"/>
    <col customWidth="1" min="6" max="6" width="17.88"/>
  </cols>
  <sheetData>
    <row r="1">
      <c r="A1" s="69"/>
      <c r="B1" s="69"/>
      <c r="C1" s="69"/>
      <c r="F1" s="70"/>
      <c r="H1" s="70"/>
    </row>
    <row r="2">
      <c r="A2" s="69"/>
      <c r="B2" s="71" t="s">
        <v>76</v>
      </c>
    </row>
    <row r="3">
      <c r="A3" s="69"/>
      <c r="B3" s="72"/>
      <c r="C3" s="72"/>
      <c r="D3" s="72"/>
      <c r="E3" s="72"/>
      <c r="F3" s="72"/>
      <c r="G3" s="72"/>
      <c r="H3" s="72"/>
    </row>
    <row r="4">
      <c r="A4" s="69"/>
      <c r="B4" s="69"/>
      <c r="C4" s="69"/>
      <c r="F4" s="70"/>
      <c r="H4" s="70"/>
    </row>
    <row r="5">
      <c r="A5" s="69"/>
      <c r="B5" s="69" t="s">
        <v>77</v>
      </c>
      <c r="C5" s="73" t="s">
        <v>78</v>
      </c>
      <c r="F5" s="69" t="s">
        <v>77</v>
      </c>
      <c r="G5" s="73" t="s">
        <v>79</v>
      </c>
    </row>
    <row r="6">
      <c r="B6" s="74"/>
      <c r="C6" s="74"/>
      <c r="D6" s="74"/>
      <c r="F6" s="74"/>
      <c r="G6" s="74"/>
      <c r="H6" s="74"/>
      <c r="I6" s="75"/>
    </row>
    <row r="7">
      <c r="A7" s="70"/>
      <c r="B7" s="70" t="s">
        <v>80</v>
      </c>
      <c r="C7" s="76">
        <v>10.0</v>
      </c>
      <c r="D7" s="77" t="s">
        <v>2</v>
      </c>
      <c r="F7" s="70" t="s">
        <v>80</v>
      </c>
      <c r="G7" s="76"/>
      <c r="H7" s="77" t="s">
        <v>2</v>
      </c>
      <c r="I7" s="75"/>
    </row>
    <row r="8">
      <c r="A8" s="70"/>
      <c r="B8" s="70" t="s">
        <v>3</v>
      </c>
      <c r="C8" s="70">
        <v>111.0</v>
      </c>
      <c r="D8">
        <f>C7*C8</f>
        <v>1110</v>
      </c>
      <c r="F8" s="70" t="s">
        <v>3</v>
      </c>
      <c r="H8">
        <f>G7*G8</f>
        <v>0</v>
      </c>
      <c r="I8" s="75"/>
    </row>
    <row r="9">
      <c r="A9" s="70"/>
      <c r="B9" s="70" t="s">
        <v>81</v>
      </c>
      <c r="C9" s="70">
        <v>500.0</v>
      </c>
      <c r="D9">
        <f>D8+C9</f>
        <v>1610</v>
      </c>
      <c r="F9" s="70" t="s">
        <v>81</v>
      </c>
      <c r="H9">
        <f>H8+G9</f>
        <v>0</v>
      </c>
    </row>
    <row r="10">
      <c r="A10" s="70"/>
      <c r="B10" s="70" t="s">
        <v>5</v>
      </c>
      <c r="D10" s="74">
        <f>D8+C9</f>
        <v>1610</v>
      </c>
      <c r="F10" s="70" t="s">
        <v>5</v>
      </c>
      <c r="H10" s="74">
        <f>H8+G9</f>
        <v>0</v>
      </c>
    </row>
    <row r="11">
      <c r="A11" s="70"/>
      <c r="B11" s="70" t="s">
        <v>6</v>
      </c>
      <c r="D11" s="78">
        <v>0.1</v>
      </c>
      <c r="F11" s="70" t="s">
        <v>6</v>
      </c>
      <c r="H11" s="78">
        <v>0.1</v>
      </c>
    </row>
    <row r="12">
      <c r="I12" s="79"/>
    </row>
    <row r="13">
      <c r="A13" s="70"/>
      <c r="B13" s="70" t="s">
        <v>7</v>
      </c>
      <c r="C13" s="80">
        <f>D10+(D10*D11)</f>
        <v>1771</v>
      </c>
      <c r="D13" s="74"/>
      <c r="F13" s="70" t="s">
        <v>7</v>
      </c>
      <c r="G13" s="80">
        <f>H10+(H10*H11)</f>
        <v>0</v>
      </c>
      <c r="H13" s="74"/>
    </row>
    <row r="16">
      <c r="A16" s="69"/>
      <c r="B16" s="69" t="s">
        <v>77</v>
      </c>
      <c r="C16" s="73" t="s">
        <v>82</v>
      </c>
      <c r="F16" s="69" t="s">
        <v>77</v>
      </c>
      <c r="G16" s="73" t="s">
        <v>83</v>
      </c>
    </row>
    <row r="17">
      <c r="B17" s="74"/>
      <c r="C17" s="74"/>
      <c r="D17" s="74"/>
      <c r="F17" s="74"/>
      <c r="G17" s="74"/>
      <c r="H17" s="74"/>
      <c r="I17" s="79"/>
    </row>
    <row r="18">
      <c r="A18" s="70"/>
      <c r="B18" s="70" t="s">
        <v>80</v>
      </c>
      <c r="C18" s="76">
        <v>100.0</v>
      </c>
      <c r="D18" s="77" t="s">
        <v>2</v>
      </c>
      <c r="F18" s="70" t="s">
        <v>80</v>
      </c>
      <c r="G18" s="76"/>
      <c r="H18" s="77" t="s">
        <v>2</v>
      </c>
      <c r="I18" s="81"/>
    </row>
    <row r="19">
      <c r="A19" s="70"/>
      <c r="B19" s="70" t="s">
        <v>3</v>
      </c>
      <c r="C19" s="70">
        <v>120.0</v>
      </c>
      <c r="D19">
        <f>C18*C19</f>
        <v>12000</v>
      </c>
      <c r="F19" s="70" t="s">
        <v>3</v>
      </c>
      <c r="H19">
        <f>G18*G19</f>
        <v>0</v>
      </c>
    </row>
    <row r="20">
      <c r="A20" s="70"/>
      <c r="B20" s="70" t="s">
        <v>81</v>
      </c>
      <c r="C20" s="70">
        <v>500.0</v>
      </c>
      <c r="D20">
        <f>D19+C20</f>
        <v>12500</v>
      </c>
      <c r="F20" s="70" t="s">
        <v>81</v>
      </c>
      <c r="H20">
        <f>H19+G20</f>
        <v>0</v>
      </c>
    </row>
    <row r="21">
      <c r="A21" s="70"/>
      <c r="B21" s="70" t="s">
        <v>5</v>
      </c>
      <c r="D21">
        <f>D19+C20</f>
        <v>12500</v>
      </c>
      <c r="F21" s="70" t="s">
        <v>5</v>
      </c>
      <c r="H21">
        <f>H19+G20</f>
        <v>0</v>
      </c>
    </row>
    <row r="22">
      <c r="A22" s="70"/>
      <c r="B22" s="70" t="s">
        <v>6</v>
      </c>
      <c r="D22" s="78">
        <v>0.1</v>
      </c>
      <c r="F22" s="70" t="s">
        <v>6</v>
      </c>
      <c r="H22" s="78">
        <v>0.1</v>
      </c>
    </row>
    <row r="24">
      <c r="A24" s="70"/>
      <c r="B24" s="70" t="s">
        <v>7</v>
      </c>
      <c r="C24" s="82">
        <f>D21+(D21*D22)</f>
        <v>13750</v>
      </c>
      <c r="F24" s="70" t="s">
        <v>7</v>
      </c>
      <c r="G24" s="82">
        <f>H21+(H21*H22)</f>
        <v>0</v>
      </c>
    </row>
    <row r="28">
      <c r="B28" s="83" t="s">
        <v>84</v>
      </c>
    </row>
    <row r="29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</row>
    <row r="31">
      <c r="B31" s="85" t="s">
        <v>85</v>
      </c>
    </row>
    <row r="33">
      <c r="B33" s="86" t="s">
        <v>86</v>
      </c>
      <c r="C33" s="86"/>
      <c r="D33" s="74"/>
      <c r="F33" s="86" t="s">
        <v>87</v>
      </c>
      <c r="G33" s="86"/>
      <c r="H33" s="74"/>
    </row>
    <row r="34">
      <c r="B34" s="70" t="s">
        <v>34</v>
      </c>
      <c r="D34" s="75"/>
      <c r="F34" s="70" t="s">
        <v>34</v>
      </c>
      <c r="H34" s="75"/>
    </row>
    <row r="35">
      <c r="B35" s="70" t="s">
        <v>88</v>
      </c>
      <c r="C35" s="78">
        <v>0.2</v>
      </c>
      <c r="D35" s="75">
        <f>D34*C35</f>
        <v>0</v>
      </c>
      <c r="F35" s="70" t="s">
        <v>88</v>
      </c>
      <c r="G35" s="78">
        <v>0.2</v>
      </c>
      <c r="H35" s="75">
        <f>H34*G35</f>
        <v>0</v>
      </c>
      <c r="K35" s="75"/>
    </row>
    <row r="36">
      <c r="B36" s="87" t="s">
        <v>89</v>
      </c>
      <c r="C36" s="75" t="s">
        <v>90</v>
      </c>
      <c r="D36" s="75"/>
      <c r="F36" s="87" t="s">
        <v>89</v>
      </c>
      <c r="G36" s="75" t="s">
        <v>90</v>
      </c>
      <c r="H36" s="75"/>
      <c r="K36" s="75"/>
    </row>
    <row r="37">
      <c r="C37" s="70" t="s">
        <v>91</v>
      </c>
      <c r="G37" s="70" t="s">
        <v>91</v>
      </c>
      <c r="K37" s="75"/>
    </row>
    <row r="38">
      <c r="B38" s="70" t="s">
        <v>92</v>
      </c>
      <c r="F38" s="70" t="s">
        <v>92</v>
      </c>
    </row>
    <row r="39">
      <c r="B39" s="70" t="s">
        <v>93</v>
      </c>
      <c r="F39" s="70" t="s">
        <v>93</v>
      </c>
    </row>
    <row r="40">
      <c r="B40" s="70" t="s">
        <v>94</v>
      </c>
      <c r="F40" s="70" t="s">
        <v>94</v>
      </c>
    </row>
    <row r="41">
      <c r="B41" s="70" t="s">
        <v>95</v>
      </c>
      <c r="C41" s="70" t="s">
        <v>96</v>
      </c>
      <c r="F41" s="70" t="s">
        <v>95</v>
      </c>
    </row>
    <row r="42">
      <c r="B42" s="70" t="s">
        <v>97</v>
      </c>
      <c r="C42" s="70" t="s">
        <v>98</v>
      </c>
      <c r="F42" s="70" t="s">
        <v>97</v>
      </c>
    </row>
    <row r="43">
      <c r="B43" s="70" t="s">
        <v>99</v>
      </c>
      <c r="F43" s="70" t="s">
        <v>99</v>
      </c>
    </row>
    <row r="44">
      <c r="B44" s="70" t="s">
        <v>100</v>
      </c>
      <c r="F44" s="70" t="s">
        <v>100</v>
      </c>
    </row>
    <row r="45">
      <c r="B45" s="70"/>
      <c r="F45" s="70"/>
    </row>
    <row r="46">
      <c r="B46" s="70" t="s">
        <v>101</v>
      </c>
      <c r="D46" s="88">
        <f>D34-(SUM(D35:D44))</f>
        <v>0</v>
      </c>
      <c r="F46" s="70" t="s">
        <v>101</v>
      </c>
      <c r="H46" s="88">
        <f>H34-(SUM(H35:H44))</f>
        <v>0</v>
      </c>
    </row>
    <row r="48">
      <c r="B48" s="70" t="s">
        <v>102</v>
      </c>
      <c r="F48" s="70" t="s">
        <v>102</v>
      </c>
    </row>
    <row r="49">
      <c r="B49" s="70" t="s">
        <v>103</v>
      </c>
      <c r="C49" s="79"/>
      <c r="D49" s="75">
        <v>0.0</v>
      </c>
      <c r="F49" s="70" t="s">
        <v>103</v>
      </c>
      <c r="G49" s="79"/>
      <c r="H49" s="75">
        <v>0.0</v>
      </c>
    </row>
    <row r="50">
      <c r="B50" s="70" t="s">
        <v>104</v>
      </c>
      <c r="C50" s="79"/>
      <c r="D50" s="79" t="str">
        <f>D46/D49</f>
        <v>#DIV/0!</v>
      </c>
      <c r="F50" s="70" t="s">
        <v>104</v>
      </c>
      <c r="G50" s="79"/>
      <c r="H50" s="79" t="str">
        <f>H46/H49</f>
        <v>#DIV/0!</v>
      </c>
    </row>
    <row r="51">
      <c r="K51" s="79"/>
    </row>
    <row r="52">
      <c r="B52" s="70" t="s">
        <v>105</v>
      </c>
      <c r="D52" s="70">
        <v>0.0</v>
      </c>
      <c r="F52" s="70" t="s">
        <v>105</v>
      </c>
      <c r="H52" s="70">
        <v>0.0</v>
      </c>
    </row>
    <row r="53">
      <c r="B53" s="70" t="s">
        <v>106</v>
      </c>
      <c r="D53" t="str">
        <f>D50-D52</f>
        <v>#DIV/0!</v>
      </c>
      <c r="F53" s="70" t="s">
        <v>106</v>
      </c>
      <c r="H53" t="str">
        <f>H50-H52</f>
        <v>#DIV/0!</v>
      </c>
    </row>
    <row r="54">
      <c r="B54" s="70" t="s">
        <v>107</v>
      </c>
      <c r="D54" s="70">
        <v>0.0</v>
      </c>
      <c r="F54" s="70" t="s">
        <v>107</v>
      </c>
      <c r="H54" s="70">
        <v>0.0</v>
      </c>
      <c r="J54" s="89" t="s">
        <v>52</v>
      </c>
      <c r="K54" s="90" t="s">
        <v>108</v>
      </c>
      <c r="L54" s="91">
        <f>D34+H34</f>
        <v>0</v>
      </c>
    </row>
    <row r="55">
      <c r="A55" s="70" t="s">
        <v>109</v>
      </c>
      <c r="B55" s="70" t="s">
        <v>110</v>
      </c>
      <c r="D55" t="str">
        <f>D53-D54</f>
        <v>#DIV/0!</v>
      </c>
      <c r="F55" s="70" t="s">
        <v>110</v>
      </c>
      <c r="H55" t="str">
        <f>H53-H54</f>
        <v>#DIV/0!</v>
      </c>
      <c r="J55" s="92"/>
      <c r="K55" s="70" t="s">
        <v>111</v>
      </c>
      <c r="L55" s="93" t="str">
        <f t="shared" ref="L55:L56" si="1">(D55+H55)/2</f>
        <v>#DIV/0!</v>
      </c>
    </row>
    <row r="56">
      <c r="B56" s="70" t="s">
        <v>37</v>
      </c>
      <c r="C56" s="81"/>
      <c r="D56" s="94" t="str">
        <f>D57/D34</f>
        <v>#DIV/0!</v>
      </c>
      <c r="F56" s="70" t="s">
        <v>37</v>
      </c>
      <c r="G56" s="81"/>
      <c r="H56" s="94" t="str">
        <f>H57/H34</f>
        <v>#DIV/0!</v>
      </c>
      <c r="J56" s="92"/>
      <c r="K56" s="70" t="s">
        <v>37</v>
      </c>
      <c r="L56" s="95" t="str">
        <f t="shared" si="1"/>
        <v>#DIV/0!</v>
      </c>
    </row>
    <row r="57">
      <c r="B57" s="70" t="s">
        <v>75</v>
      </c>
      <c r="C57" s="79"/>
      <c r="D57" s="88" t="str">
        <f>D48*D55</f>
        <v>#DIV/0!</v>
      </c>
      <c r="F57" s="70" t="s">
        <v>75</v>
      </c>
      <c r="G57" s="79"/>
      <c r="H57" s="88" t="str">
        <f>H48*H55</f>
        <v>#DIV/0!</v>
      </c>
      <c r="J57" s="96"/>
      <c r="K57" s="86" t="s">
        <v>75</v>
      </c>
      <c r="L57" s="97" t="str">
        <f>D57+H57</f>
        <v>#DIV/0!</v>
      </c>
    </row>
    <row r="58">
      <c r="K58" s="81"/>
    </row>
    <row r="61">
      <c r="B61" s="83" t="s">
        <v>112</v>
      </c>
    </row>
    <row r="62"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</row>
    <row r="64">
      <c r="B64" s="87" t="s">
        <v>113</v>
      </c>
      <c r="D64" s="70" t="s">
        <v>114</v>
      </c>
      <c r="E64" s="70" t="s">
        <v>115</v>
      </c>
      <c r="F64" s="70" t="s">
        <v>116</v>
      </c>
      <c r="G64" s="70" t="s">
        <v>117</v>
      </c>
      <c r="I64" s="70" t="s">
        <v>118</v>
      </c>
    </row>
    <row r="65">
      <c r="C65" s="70" t="s">
        <v>78</v>
      </c>
      <c r="D65" s="70">
        <v>100.0</v>
      </c>
      <c r="E65" s="70">
        <f t="shared" ref="E65:E70" si="2">D65*I65</f>
        <v>11100</v>
      </c>
      <c r="G65" s="70">
        <f t="shared" ref="G65:G70" si="3">E65*F65</f>
        <v>0</v>
      </c>
      <c r="I65" s="85">
        <v>111.0</v>
      </c>
    </row>
    <row r="66">
      <c r="C66" s="70" t="s">
        <v>79</v>
      </c>
      <c r="E66" s="70">
        <f t="shared" si="2"/>
        <v>0</v>
      </c>
      <c r="G66" s="70">
        <f t="shared" si="3"/>
        <v>0</v>
      </c>
      <c r="I66" s="99">
        <f t="shared" ref="I66:I68" si="4">I65</f>
        <v>111</v>
      </c>
    </row>
    <row r="67">
      <c r="C67" s="70" t="s">
        <v>82</v>
      </c>
      <c r="E67" s="70">
        <f t="shared" si="2"/>
        <v>0</v>
      </c>
      <c r="G67" s="70">
        <f t="shared" si="3"/>
        <v>0</v>
      </c>
      <c r="I67" s="99">
        <f t="shared" si="4"/>
        <v>111</v>
      </c>
    </row>
    <row r="68">
      <c r="A68" s="100"/>
      <c r="C68" s="70" t="s">
        <v>83</v>
      </c>
      <c r="D68" s="101"/>
      <c r="E68" s="101">
        <f t="shared" si="2"/>
        <v>0</v>
      </c>
      <c r="F68" s="101"/>
      <c r="G68" s="70">
        <f t="shared" si="3"/>
        <v>0</v>
      </c>
      <c r="H68" s="100"/>
      <c r="I68" s="102">
        <f t="shared" si="4"/>
        <v>111</v>
      </c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</row>
    <row r="69">
      <c r="C69" s="70" t="s">
        <v>119</v>
      </c>
      <c r="E69" s="70">
        <f t="shared" si="2"/>
        <v>0</v>
      </c>
      <c r="G69" s="70">
        <f t="shared" si="3"/>
        <v>0</v>
      </c>
      <c r="I69" s="99">
        <f t="shared" ref="I69:I70" si="5">I66</f>
        <v>111</v>
      </c>
    </row>
    <row r="70">
      <c r="C70" s="70" t="s">
        <v>120</v>
      </c>
      <c r="E70" s="70">
        <f t="shared" si="2"/>
        <v>0</v>
      </c>
      <c r="G70" s="70">
        <f t="shared" si="3"/>
        <v>0</v>
      </c>
      <c r="I70" s="99">
        <f t="shared" si="5"/>
        <v>111</v>
      </c>
    </row>
    <row r="71">
      <c r="B71" s="70" t="s">
        <v>121</v>
      </c>
      <c r="F71">
        <f t="shared" ref="F71:G71" si="6">SUM(F65:F70)</f>
        <v>0</v>
      </c>
      <c r="G71" s="74">
        <f t="shared" si="6"/>
        <v>0</v>
      </c>
      <c r="I71" s="99">
        <f t="shared" ref="I71:I76" si="7">I70</f>
        <v>111</v>
      </c>
    </row>
    <row r="72">
      <c r="B72" s="87"/>
      <c r="C72" s="70"/>
      <c r="D72" s="70"/>
      <c r="E72" s="70"/>
      <c r="I72" s="99">
        <f t="shared" si="7"/>
        <v>111</v>
      </c>
    </row>
    <row r="73">
      <c r="B73" s="87" t="s">
        <v>122</v>
      </c>
      <c r="D73" s="70" t="s">
        <v>114</v>
      </c>
      <c r="E73" s="70" t="s">
        <v>115</v>
      </c>
      <c r="G73" s="70" t="s">
        <v>123</v>
      </c>
      <c r="I73" s="99">
        <f t="shared" si="7"/>
        <v>111</v>
      </c>
    </row>
    <row r="74">
      <c r="C74" s="70" t="s">
        <v>124</v>
      </c>
      <c r="E74" s="70">
        <f t="shared" ref="E74:E75" si="8">D74*I74</f>
        <v>0</v>
      </c>
      <c r="G74">
        <f t="shared" ref="G74:G81" si="9">E74</f>
        <v>0</v>
      </c>
      <c r="I74" s="99">
        <f t="shared" si="7"/>
        <v>111</v>
      </c>
    </row>
    <row r="75">
      <c r="C75" s="70" t="s">
        <v>125</v>
      </c>
      <c r="E75" s="70">
        <f t="shared" si="8"/>
        <v>0</v>
      </c>
      <c r="G75">
        <f t="shared" si="9"/>
        <v>0</v>
      </c>
      <c r="I75" s="99">
        <f t="shared" si="7"/>
        <v>111</v>
      </c>
    </row>
    <row r="76">
      <c r="C76" s="70" t="s">
        <v>126</v>
      </c>
      <c r="G76" t="str">
        <f t="shared" si="9"/>
        <v/>
      </c>
      <c r="I76" s="99">
        <f t="shared" si="7"/>
        <v>111</v>
      </c>
    </row>
    <row r="77">
      <c r="C77" s="70" t="s">
        <v>127</v>
      </c>
      <c r="G77" t="str">
        <f t="shared" si="9"/>
        <v/>
      </c>
      <c r="I77" s="99">
        <f>I75</f>
        <v>111</v>
      </c>
    </row>
    <row r="78">
      <c r="C78" s="103" t="s">
        <v>128</v>
      </c>
      <c r="E78" s="70">
        <f t="shared" ref="E78:E81" si="10">D78*I78</f>
        <v>0</v>
      </c>
      <c r="G78">
        <f t="shared" si="9"/>
        <v>0</v>
      </c>
      <c r="I78" s="99">
        <f>I75</f>
        <v>111</v>
      </c>
    </row>
    <row r="79">
      <c r="C79" s="103" t="s">
        <v>128</v>
      </c>
      <c r="E79" s="70">
        <f t="shared" si="10"/>
        <v>0</v>
      </c>
      <c r="G79">
        <f t="shared" si="9"/>
        <v>0</v>
      </c>
      <c r="I79" s="99">
        <f t="shared" ref="I79:I81" si="11">I74</f>
        <v>111</v>
      </c>
    </row>
    <row r="80">
      <c r="C80" s="103" t="s">
        <v>128</v>
      </c>
      <c r="E80" s="70">
        <f t="shared" si="10"/>
        <v>0</v>
      </c>
      <c r="G80">
        <f t="shared" si="9"/>
        <v>0</v>
      </c>
      <c r="I80" s="99">
        <f t="shared" si="11"/>
        <v>111</v>
      </c>
    </row>
    <row r="81">
      <c r="C81" s="103" t="s">
        <v>128</v>
      </c>
      <c r="E81" s="70">
        <f t="shared" si="10"/>
        <v>0</v>
      </c>
      <c r="G81">
        <f t="shared" si="9"/>
        <v>0</v>
      </c>
      <c r="I81" s="99">
        <f t="shared" si="11"/>
        <v>111</v>
      </c>
    </row>
    <row r="82">
      <c r="B82" s="70" t="s">
        <v>129</v>
      </c>
      <c r="G82" s="74">
        <f>SUM(G74:G81)</f>
        <v>0</v>
      </c>
      <c r="I82" s="99">
        <f t="shared" ref="I82:I83" si="12">I81</f>
        <v>111</v>
      </c>
    </row>
    <row r="83">
      <c r="I83" s="99">
        <f t="shared" si="12"/>
        <v>111</v>
      </c>
    </row>
    <row r="84">
      <c r="B84" s="87" t="s">
        <v>130</v>
      </c>
      <c r="D84" s="70" t="s">
        <v>114</v>
      </c>
      <c r="E84" s="70" t="s">
        <v>115</v>
      </c>
      <c r="G84" s="70" t="s">
        <v>130</v>
      </c>
      <c r="I84" s="99">
        <f t="shared" ref="I84:I87" si="13">I82</f>
        <v>111</v>
      </c>
    </row>
    <row r="85">
      <c r="C85" s="70" t="s">
        <v>131</v>
      </c>
      <c r="E85" s="70">
        <v>0.0</v>
      </c>
      <c r="G85">
        <f t="shared" ref="G85:G89" si="14">E85</f>
        <v>0</v>
      </c>
      <c r="I85" s="99">
        <f t="shared" si="13"/>
        <v>111</v>
      </c>
    </row>
    <row r="86">
      <c r="C86" s="70" t="s">
        <v>132</v>
      </c>
      <c r="E86" s="70">
        <f t="shared" ref="E86:E89" si="15">D86*I86</f>
        <v>0</v>
      </c>
      <c r="G86">
        <f t="shared" si="14"/>
        <v>0</v>
      </c>
      <c r="I86" s="99">
        <f t="shared" si="13"/>
        <v>111</v>
      </c>
    </row>
    <row r="87">
      <c r="C87" s="104" t="s">
        <v>133</v>
      </c>
      <c r="E87" s="70">
        <f t="shared" si="15"/>
        <v>0</v>
      </c>
      <c r="G87">
        <f t="shared" si="14"/>
        <v>0</v>
      </c>
      <c r="I87" s="99">
        <f t="shared" si="13"/>
        <v>111</v>
      </c>
    </row>
    <row r="88">
      <c r="C88" s="104" t="s">
        <v>133</v>
      </c>
      <c r="E88" s="70">
        <f t="shared" si="15"/>
        <v>0</v>
      </c>
      <c r="G88">
        <f t="shared" si="14"/>
        <v>0</v>
      </c>
      <c r="I88" s="99">
        <f t="shared" ref="I88:I90" si="16">I85</f>
        <v>111</v>
      </c>
    </row>
    <row r="89">
      <c r="C89" s="104" t="s">
        <v>133</v>
      </c>
      <c r="E89" s="70">
        <f t="shared" si="15"/>
        <v>0</v>
      </c>
      <c r="G89">
        <f t="shared" si="14"/>
        <v>0</v>
      </c>
      <c r="I89" s="99">
        <f t="shared" si="16"/>
        <v>111</v>
      </c>
    </row>
    <row r="90">
      <c r="B90" s="70" t="s">
        <v>134</v>
      </c>
      <c r="G90" s="74">
        <f>SUM(G85:G89)</f>
        <v>0</v>
      </c>
      <c r="I90" s="99">
        <f t="shared" si="16"/>
        <v>111</v>
      </c>
    </row>
    <row r="91">
      <c r="I91" s="99">
        <f t="shared" ref="I91:I98" si="17">I89</f>
        <v>111</v>
      </c>
    </row>
    <row r="92">
      <c r="B92" s="87" t="s">
        <v>128</v>
      </c>
      <c r="D92" s="70" t="s">
        <v>114</v>
      </c>
      <c r="E92" s="70" t="s">
        <v>115</v>
      </c>
      <c r="G92" s="70" t="s">
        <v>135</v>
      </c>
      <c r="I92" s="99">
        <f t="shared" si="17"/>
        <v>111</v>
      </c>
    </row>
    <row r="93">
      <c r="C93" s="70" t="s">
        <v>136</v>
      </c>
      <c r="D93" s="70">
        <v>0.0</v>
      </c>
      <c r="E93" s="70">
        <f t="shared" ref="E93:E97" si="18">D93*I93</f>
        <v>0</v>
      </c>
      <c r="G93">
        <f t="shared" ref="G93:G97" si="19">E93</f>
        <v>0</v>
      </c>
      <c r="I93" s="99">
        <f t="shared" si="17"/>
        <v>111</v>
      </c>
    </row>
    <row r="94">
      <c r="C94" s="103" t="s">
        <v>135</v>
      </c>
      <c r="E94" s="70">
        <f t="shared" si="18"/>
        <v>0</v>
      </c>
      <c r="G94">
        <f t="shared" si="19"/>
        <v>0</v>
      </c>
      <c r="I94" s="99">
        <f t="shared" si="17"/>
        <v>111</v>
      </c>
    </row>
    <row r="95">
      <c r="C95" s="103" t="s">
        <v>135</v>
      </c>
      <c r="E95" s="70">
        <f t="shared" si="18"/>
        <v>0</v>
      </c>
      <c r="G95">
        <f t="shared" si="19"/>
        <v>0</v>
      </c>
      <c r="I95" s="99">
        <f t="shared" si="17"/>
        <v>111</v>
      </c>
    </row>
    <row r="96">
      <c r="C96" s="103" t="s">
        <v>135</v>
      </c>
      <c r="E96" s="70">
        <f t="shared" si="18"/>
        <v>0</v>
      </c>
      <c r="G96">
        <f t="shared" si="19"/>
        <v>0</v>
      </c>
      <c r="I96" s="99">
        <f t="shared" si="17"/>
        <v>111</v>
      </c>
    </row>
    <row r="97">
      <c r="C97" s="103" t="s">
        <v>135</v>
      </c>
      <c r="E97" s="70">
        <f t="shared" si="18"/>
        <v>0</v>
      </c>
      <c r="G97">
        <f t="shared" si="19"/>
        <v>0</v>
      </c>
      <c r="I97" s="99">
        <f t="shared" si="17"/>
        <v>111</v>
      </c>
    </row>
    <row r="98">
      <c r="B98" s="70" t="s">
        <v>137</v>
      </c>
      <c r="G98" s="74">
        <f>SUM(G93:G97)</f>
        <v>0</v>
      </c>
      <c r="I98" s="99">
        <f t="shared" si="17"/>
        <v>111</v>
      </c>
    </row>
    <row r="101">
      <c r="B101" s="70" t="s">
        <v>138</v>
      </c>
      <c r="G101" s="74">
        <f>G71+G82+G90+G98</f>
        <v>0</v>
      </c>
    </row>
    <row r="102">
      <c r="B102" s="70" t="s">
        <v>139</v>
      </c>
      <c r="G102" s="105" t="str">
        <f>G101/F71</f>
        <v>#DIV/0!</v>
      </c>
    </row>
    <row r="105">
      <c r="B105" s="83" t="s">
        <v>140</v>
      </c>
    </row>
    <row r="106"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</row>
    <row r="109">
      <c r="B109" s="107" t="s">
        <v>141</v>
      </c>
      <c r="D109" s="70" t="s">
        <v>10</v>
      </c>
      <c r="E109" s="70" t="s">
        <v>12</v>
      </c>
      <c r="F109" s="70" t="s">
        <v>13</v>
      </c>
      <c r="G109" s="70" t="s">
        <v>14</v>
      </c>
      <c r="H109" s="70" t="s">
        <v>15</v>
      </c>
      <c r="I109" s="70" t="s">
        <v>16</v>
      </c>
      <c r="K109" s="86" t="s">
        <v>20</v>
      </c>
      <c r="L109" s="86" t="s">
        <v>21</v>
      </c>
      <c r="M109" s="86" t="s">
        <v>22</v>
      </c>
    </row>
    <row r="110">
      <c r="C110" s="70" t="s">
        <v>78</v>
      </c>
      <c r="D110" s="108">
        <v>1000.0</v>
      </c>
      <c r="E110" s="109">
        <f t="shared" ref="E110:E115" si="20">D110/30%</f>
        <v>3333.333333</v>
      </c>
      <c r="F110" s="109">
        <f t="shared" ref="F110:F115" si="21">D110/35%</f>
        <v>2857.142857</v>
      </c>
      <c r="G110" s="109">
        <f t="shared" ref="G110:G115" si="22">D110/40%</f>
        <v>2500</v>
      </c>
      <c r="H110" s="109">
        <f t="shared" ref="H110:H115" si="23">D110/45%</f>
        <v>2222.222222</v>
      </c>
      <c r="I110" s="109">
        <f t="shared" ref="I110:I115" si="24">D110/50%</f>
        <v>2000</v>
      </c>
      <c r="K110" s="70">
        <v>10000.0</v>
      </c>
      <c r="L110">
        <f t="shared" ref="L110:L115" si="25">K110*1.08</f>
        <v>10800</v>
      </c>
      <c r="M110" s="110">
        <f t="shared" ref="M110:M115" si="26">D110/L110</f>
        <v>0.09259259259</v>
      </c>
    </row>
    <row r="111">
      <c r="C111" s="70" t="s">
        <v>79</v>
      </c>
      <c r="E111" s="109">
        <f t="shared" si="20"/>
        <v>0</v>
      </c>
      <c r="F111" s="109">
        <f t="shared" si="21"/>
        <v>0</v>
      </c>
      <c r="G111" s="109">
        <f t="shared" si="22"/>
        <v>0</v>
      </c>
      <c r="H111" s="109">
        <f t="shared" si="23"/>
        <v>0</v>
      </c>
      <c r="I111" s="109">
        <f t="shared" si="24"/>
        <v>0</v>
      </c>
      <c r="L111">
        <f t="shared" si="25"/>
        <v>0</v>
      </c>
      <c r="M111" s="110" t="str">
        <f t="shared" si="26"/>
        <v>#DIV/0!</v>
      </c>
    </row>
    <row r="112">
      <c r="C112" s="70" t="s">
        <v>82</v>
      </c>
      <c r="E112" s="109">
        <f t="shared" si="20"/>
        <v>0</v>
      </c>
      <c r="F112" s="109">
        <f t="shared" si="21"/>
        <v>0</v>
      </c>
      <c r="G112" s="109">
        <f t="shared" si="22"/>
        <v>0</v>
      </c>
      <c r="H112" s="109">
        <f t="shared" si="23"/>
        <v>0</v>
      </c>
      <c r="I112" s="109">
        <f t="shared" si="24"/>
        <v>0</v>
      </c>
      <c r="L112">
        <f t="shared" si="25"/>
        <v>0</v>
      </c>
      <c r="M112" s="110" t="str">
        <f t="shared" si="26"/>
        <v>#DIV/0!</v>
      </c>
    </row>
    <row r="113">
      <c r="C113" s="70" t="s">
        <v>83</v>
      </c>
      <c r="E113" s="109">
        <f t="shared" si="20"/>
        <v>0</v>
      </c>
      <c r="F113" s="109">
        <f t="shared" si="21"/>
        <v>0</v>
      </c>
      <c r="G113" s="109">
        <f t="shared" si="22"/>
        <v>0</v>
      </c>
      <c r="H113" s="109">
        <f t="shared" si="23"/>
        <v>0</v>
      </c>
      <c r="I113" s="109">
        <f t="shared" si="24"/>
        <v>0</v>
      </c>
      <c r="L113">
        <f t="shared" si="25"/>
        <v>0</v>
      </c>
      <c r="M113" s="110" t="str">
        <f t="shared" si="26"/>
        <v>#DIV/0!</v>
      </c>
    </row>
    <row r="114">
      <c r="C114" s="70" t="s">
        <v>119</v>
      </c>
      <c r="E114" s="109">
        <f t="shared" si="20"/>
        <v>0</v>
      </c>
      <c r="F114" s="109">
        <f t="shared" si="21"/>
        <v>0</v>
      </c>
      <c r="G114" s="109">
        <f t="shared" si="22"/>
        <v>0</v>
      </c>
      <c r="H114" s="109">
        <f t="shared" si="23"/>
        <v>0</v>
      </c>
      <c r="I114" s="109">
        <f t="shared" si="24"/>
        <v>0</v>
      </c>
      <c r="L114">
        <f t="shared" si="25"/>
        <v>0</v>
      </c>
      <c r="M114" s="110" t="str">
        <f t="shared" si="26"/>
        <v>#DIV/0!</v>
      </c>
    </row>
    <row r="115">
      <c r="C115" s="70" t="s">
        <v>120</v>
      </c>
      <c r="E115" s="109">
        <f t="shared" si="20"/>
        <v>0</v>
      </c>
      <c r="F115" s="109">
        <f t="shared" si="21"/>
        <v>0</v>
      </c>
      <c r="G115" s="109">
        <f t="shared" si="22"/>
        <v>0</v>
      </c>
      <c r="H115" s="109">
        <f t="shared" si="23"/>
        <v>0</v>
      </c>
      <c r="I115" s="109">
        <f t="shared" si="24"/>
        <v>0</v>
      </c>
      <c r="L115">
        <f t="shared" si="25"/>
        <v>0</v>
      </c>
      <c r="M115" s="110" t="str">
        <f t="shared" si="26"/>
        <v>#DIV/0!</v>
      </c>
    </row>
    <row r="118">
      <c r="B118" s="87" t="s">
        <v>142</v>
      </c>
      <c r="C118" s="70" t="s">
        <v>24</v>
      </c>
      <c r="D118" s="70" t="s">
        <v>143</v>
      </c>
    </row>
    <row r="119">
      <c r="C119" s="111">
        <v>10000.0</v>
      </c>
      <c r="D119" s="112">
        <f>C119/1.08</f>
        <v>9259.259259</v>
      </c>
    </row>
    <row r="124">
      <c r="B124" s="83" t="s">
        <v>144</v>
      </c>
    </row>
    <row r="125"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</row>
    <row r="127" ht="22.5" customHeight="1">
      <c r="A127" s="69" t="s">
        <v>145</v>
      </c>
      <c r="B127" s="69" t="s">
        <v>146</v>
      </c>
      <c r="C127" s="69"/>
      <c r="D127" s="70" t="s">
        <v>32</v>
      </c>
      <c r="E127" s="70" t="s">
        <v>147</v>
      </c>
      <c r="F127" s="70" t="s">
        <v>148</v>
      </c>
      <c r="G127" s="70" t="s">
        <v>149</v>
      </c>
      <c r="H127" s="70" t="s">
        <v>150</v>
      </c>
      <c r="I127" s="70" t="s">
        <v>151</v>
      </c>
      <c r="J127" s="70" t="s">
        <v>152</v>
      </c>
      <c r="K127" s="70" t="s">
        <v>153</v>
      </c>
      <c r="L127" s="70" t="s">
        <v>154</v>
      </c>
      <c r="M127" s="70" t="s">
        <v>155</v>
      </c>
      <c r="P127" s="70"/>
    </row>
    <row r="128">
      <c r="A128" s="70"/>
      <c r="B128" s="70" t="s">
        <v>156</v>
      </c>
      <c r="C128" s="70" t="s">
        <v>117</v>
      </c>
      <c r="E128" s="70">
        <v>0.2</v>
      </c>
      <c r="G128" s="70">
        <v>700.0</v>
      </c>
      <c r="H128" s="70">
        <v>0.0</v>
      </c>
      <c r="I128" s="70"/>
      <c r="J128" s="70"/>
      <c r="K128" s="70"/>
      <c r="P128" s="70"/>
    </row>
    <row r="129">
      <c r="A129" s="70">
        <v>10000.0</v>
      </c>
      <c r="B129">
        <f>A129*1.08</f>
        <v>10800</v>
      </c>
      <c r="C129" s="114">
        <v>11539.000000000002</v>
      </c>
      <c r="D129" s="70">
        <v>18500.0</v>
      </c>
      <c r="E129" s="115">
        <f t="shared" ref="E129:E135" si="29">E128</f>
        <v>0.2</v>
      </c>
      <c r="F129">
        <f t="shared" ref="F129:F135" si="30">D129*E129</f>
        <v>3700</v>
      </c>
      <c r="G129">
        <f t="shared" ref="G129:H129" si="27">G128</f>
        <v>700</v>
      </c>
      <c r="H129">
        <f t="shared" si="27"/>
        <v>0</v>
      </c>
      <c r="I129">
        <f t="shared" ref="I129:I135" si="32">D129-F129-G129-H129</f>
        <v>14100</v>
      </c>
      <c r="J129">
        <f t="shared" ref="J129:J135" si="33">I129-C129</f>
        <v>2561</v>
      </c>
      <c r="K129" s="94">
        <f t="shared" ref="K129:K135" si="34">J129/D129</f>
        <v>0.1384324324</v>
      </c>
      <c r="L129" s="94">
        <f t="shared" ref="L129:L135" si="35">D129/B129</f>
        <v>1.712962963</v>
      </c>
      <c r="P129" s="94"/>
    </row>
    <row r="130">
      <c r="A130" s="90"/>
      <c r="B130">
        <f t="shared" ref="B130:C130" si="28">B129</f>
        <v>10800</v>
      </c>
      <c r="C130">
        <f t="shared" si="28"/>
        <v>11539</v>
      </c>
      <c r="D130" s="70">
        <v>19000.0</v>
      </c>
      <c r="E130" s="115">
        <f t="shared" si="29"/>
        <v>0.2</v>
      </c>
      <c r="F130">
        <f t="shared" si="30"/>
        <v>3800</v>
      </c>
      <c r="G130">
        <f t="shared" ref="G130:H130" si="31">G129</f>
        <v>700</v>
      </c>
      <c r="H130">
        <f t="shared" si="31"/>
        <v>0</v>
      </c>
      <c r="I130">
        <f t="shared" si="32"/>
        <v>14500</v>
      </c>
      <c r="J130">
        <f t="shared" si="33"/>
        <v>2961</v>
      </c>
      <c r="K130" s="94">
        <f t="shared" si="34"/>
        <v>0.1558421053</v>
      </c>
      <c r="L130" s="94">
        <f t="shared" si="35"/>
        <v>1.759259259</v>
      </c>
      <c r="P130" s="94"/>
    </row>
    <row r="131">
      <c r="A131" s="70"/>
      <c r="B131">
        <f t="shared" ref="B131:C131" si="36">B130</f>
        <v>10800</v>
      </c>
      <c r="C131">
        <f t="shared" si="36"/>
        <v>11539</v>
      </c>
      <c r="D131" s="70">
        <v>19500.0</v>
      </c>
      <c r="E131" s="115">
        <f t="shared" si="29"/>
        <v>0.2</v>
      </c>
      <c r="F131">
        <f t="shared" si="30"/>
        <v>3900</v>
      </c>
      <c r="G131">
        <f t="shared" ref="G131:H131" si="37">G130</f>
        <v>700</v>
      </c>
      <c r="H131">
        <f t="shared" si="37"/>
        <v>0</v>
      </c>
      <c r="I131">
        <f t="shared" si="32"/>
        <v>14900</v>
      </c>
      <c r="J131">
        <f t="shared" si="33"/>
        <v>3361</v>
      </c>
      <c r="K131" s="94">
        <f t="shared" si="34"/>
        <v>0.1723589744</v>
      </c>
      <c r="L131" s="94">
        <f t="shared" si="35"/>
        <v>1.805555556</v>
      </c>
      <c r="P131" s="94"/>
    </row>
    <row r="132">
      <c r="A132" s="70"/>
      <c r="B132">
        <f t="shared" ref="B132:C132" si="38">B131</f>
        <v>10800</v>
      </c>
      <c r="C132">
        <f t="shared" si="38"/>
        <v>11539</v>
      </c>
      <c r="D132" s="70">
        <v>20000.0</v>
      </c>
      <c r="E132" s="115">
        <f t="shared" si="29"/>
        <v>0.2</v>
      </c>
      <c r="F132">
        <f t="shared" si="30"/>
        <v>4000</v>
      </c>
      <c r="G132">
        <f t="shared" ref="G132:H132" si="39">G131</f>
        <v>700</v>
      </c>
      <c r="H132">
        <f t="shared" si="39"/>
        <v>0</v>
      </c>
      <c r="I132">
        <f t="shared" si="32"/>
        <v>15300</v>
      </c>
      <c r="J132">
        <f t="shared" si="33"/>
        <v>3761</v>
      </c>
      <c r="K132" s="94">
        <f t="shared" si="34"/>
        <v>0.18805</v>
      </c>
      <c r="L132" s="94">
        <f t="shared" si="35"/>
        <v>1.851851852</v>
      </c>
      <c r="P132" s="94"/>
    </row>
    <row r="133">
      <c r="A133" s="70"/>
      <c r="B133">
        <f t="shared" ref="B133:C133" si="40">B132</f>
        <v>10800</v>
      </c>
      <c r="C133">
        <f t="shared" si="40"/>
        <v>11539</v>
      </c>
      <c r="D133" s="70">
        <v>20500.0</v>
      </c>
      <c r="E133" s="115">
        <f t="shared" si="29"/>
        <v>0.2</v>
      </c>
      <c r="F133">
        <f t="shared" si="30"/>
        <v>4100</v>
      </c>
      <c r="G133">
        <f t="shared" ref="G133:H133" si="41">G132</f>
        <v>700</v>
      </c>
      <c r="H133">
        <f t="shared" si="41"/>
        <v>0</v>
      </c>
      <c r="I133">
        <f t="shared" si="32"/>
        <v>15700</v>
      </c>
      <c r="J133">
        <f t="shared" si="33"/>
        <v>4161</v>
      </c>
      <c r="K133" s="94">
        <f t="shared" si="34"/>
        <v>0.2029756098</v>
      </c>
      <c r="L133" s="94">
        <f t="shared" si="35"/>
        <v>1.898148148</v>
      </c>
      <c r="P133" s="94"/>
    </row>
    <row r="134">
      <c r="A134" s="70"/>
      <c r="B134">
        <f t="shared" ref="B134:C134" si="42">B133</f>
        <v>10800</v>
      </c>
      <c r="C134">
        <f t="shared" si="42"/>
        <v>11539</v>
      </c>
      <c r="D134" s="70">
        <v>21000.0</v>
      </c>
      <c r="E134" s="115">
        <f t="shared" si="29"/>
        <v>0.2</v>
      </c>
      <c r="F134">
        <f t="shared" si="30"/>
        <v>4200</v>
      </c>
      <c r="G134">
        <f t="shared" ref="G134:H134" si="43">G133</f>
        <v>700</v>
      </c>
      <c r="H134">
        <f t="shared" si="43"/>
        <v>0</v>
      </c>
      <c r="I134">
        <f t="shared" si="32"/>
        <v>16100</v>
      </c>
      <c r="J134">
        <f t="shared" si="33"/>
        <v>4561</v>
      </c>
      <c r="K134" s="94">
        <f t="shared" si="34"/>
        <v>0.2171904762</v>
      </c>
      <c r="L134" s="94">
        <f t="shared" si="35"/>
        <v>1.944444444</v>
      </c>
      <c r="P134" s="94"/>
    </row>
    <row r="135">
      <c r="A135" s="70"/>
      <c r="B135">
        <f t="shared" ref="B135:C135" si="44">B134</f>
        <v>10800</v>
      </c>
      <c r="C135">
        <f t="shared" si="44"/>
        <v>11539</v>
      </c>
      <c r="D135" s="70">
        <v>21500.0</v>
      </c>
      <c r="E135" s="115">
        <f t="shared" si="29"/>
        <v>0.2</v>
      </c>
      <c r="F135">
        <f t="shared" si="30"/>
        <v>4300</v>
      </c>
      <c r="G135">
        <f t="shared" ref="G135:H135" si="45">G134</f>
        <v>700</v>
      </c>
      <c r="H135">
        <f t="shared" si="45"/>
        <v>0</v>
      </c>
      <c r="I135">
        <f t="shared" si="32"/>
        <v>16500</v>
      </c>
      <c r="J135">
        <f t="shared" si="33"/>
        <v>4961</v>
      </c>
      <c r="K135" s="94">
        <f t="shared" si="34"/>
        <v>0.230744186</v>
      </c>
      <c r="L135" s="94">
        <f t="shared" si="35"/>
        <v>1.990740741</v>
      </c>
      <c r="P135" s="94"/>
    </row>
    <row r="139" ht="22.5" customHeight="1">
      <c r="A139" s="69" t="s">
        <v>157</v>
      </c>
      <c r="B139" s="69"/>
      <c r="C139" s="69"/>
      <c r="D139" s="70" t="s">
        <v>32</v>
      </c>
      <c r="E139" s="70" t="s">
        <v>147</v>
      </c>
      <c r="F139" s="70" t="s">
        <v>148</v>
      </c>
      <c r="G139" s="70" t="s">
        <v>149</v>
      </c>
      <c r="H139" s="70" t="s">
        <v>150</v>
      </c>
      <c r="I139" s="70" t="s">
        <v>151</v>
      </c>
      <c r="J139" s="70" t="s">
        <v>152</v>
      </c>
      <c r="K139" s="70" t="s">
        <v>153</v>
      </c>
      <c r="L139" s="70" t="s">
        <v>154</v>
      </c>
      <c r="M139" s="70" t="s">
        <v>155</v>
      </c>
      <c r="P139" s="70"/>
    </row>
    <row r="140">
      <c r="A140" s="70"/>
      <c r="B140" s="70" t="s">
        <v>156</v>
      </c>
      <c r="C140" s="70" t="s">
        <v>117</v>
      </c>
      <c r="E140" s="70">
        <v>0.2</v>
      </c>
      <c r="G140" s="70">
        <v>700.0</v>
      </c>
      <c r="H140" s="70">
        <v>0.0</v>
      </c>
      <c r="I140" s="70"/>
      <c r="J140" s="70"/>
      <c r="K140" s="70"/>
      <c r="P140" s="70"/>
    </row>
    <row r="141">
      <c r="A141" s="70">
        <v>10000.0</v>
      </c>
      <c r="B141">
        <f>A141*1.08</f>
        <v>10800</v>
      </c>
      <c r="C141" s="114">
        <v>10318.0</v>
      </c>
      <c r="D141" s="70">
        <v>14000.0</v>
      </c>
      <c r="E141" s="115">
        <f t="shared" ref="E141:E147" si="48">E140</f>
        <v>0.2</v>
      </c>
      <c r="F141">
        <f t="shared" ref="F141:F147" si="49">D141*E141</f>
        <v>2800</v>
      </c>
      <c r="G141">
        <f t="shared" ref="G141:H141" si="46">G140</f>
        <v>700</v>
      </c>
      <c r="H141">
        <f t="shared" si="46"/>
        <v>0</v>
      </c>
      <c r="I141">
        <f t="shared" ref="I141:I147" si="51">D141-F141-G141-H141</f>
        <v>10500</v>
      </c>
      <c r="J141">
        <f t="shared" ref="J141:J147" si="52">I141-C141</f>
        <v>182</v>
      </c>
      <c r="K141" s="94">
        <f t="shared" ref="K141:K147" si="53">J141/D141</f>
        <v>0.013</v>
      </c>
      <c r="L141" s="94">
        <f t="shared" ref="L141:L147" si="54">D141/B141</f>
        <v>1.296296296</v>
      </c>
      <c r="P141" s="94"/>
    </row>
    <row r="142">
      <c r="A142" s="90"/>
      <c r="B142">
        <f t="shared" ref="B142:C142" si="47">B141</f>
        <v>10800</v>
      </c>
      <c r="C142">
        <f t="shared" si="47"/>
        <v>10318</v>
      </c>
      <c r="D142" s="70">
        <v>16000.0</v>
      </c>
      <c r="E142" s="115">
        <f t="shared" si="48"/>
        <v>0.2</v>
      </c>
      <c r="F142">
        <f t="shared" si="49"/>
        <v>3200</v>
      </c>
      <c r="G142">
        <f t="shared" ref="G142:H142" si="50">G141</f>
        <v>700</v>
      </c>
      <c r="H142">
        <f t="shared" si="50"/>
        <v>0</v>
      </c>
      <c r="I142">
        <f t="shared" si="51"/>
        <v>12100</v>
      </c>
      <c r="J142">
        <f t="shared" si="52"/>
        <v>1782</v>
      </c>
      <c r="K142" s="94">
        <f t="shared" si="53"/>
        <v>0.111375</v>
      </c>
      <c r="L142" s="94">
        <f t="shared" si="54"/>
        <v>1.481481481</v>
      </c>
      <c r="P142" s="94"/>
    </row>
    <row r="143">
      <c r="A143" s="70"/>
      <c r="B143">
        <f t="shared" ref="B143:C143" si="55">B142</f>
        <v>10800</v>
      </c>
      <c r="C143">
        <f t="shared" si="55"/>
        <v>10318</v>
      </c>
      <c r="D143" s="70">
        <v>18000.0</v>
      </c>
      <c r="E143" s="115">
        <f t="shared" si="48"/>
        <v>0.2</v>
      </c>
      <c r="F143">
        <f t="shared" si="49"/>
        <v>3600</v>
      </c>
      <c r="G143">
        <f t="shared" ref="G143:H143" si="56">G142</f>
        <v>700</v>
      </c>
      <c r="H143">
        <f t="shared" si="56"/>
        <v>0</v>
      </c>
      <c r="I143">
        <f t="shared" si="51"/>
        <v>13700</v>
      </c>
      <c r="J143">
        <f t="shared" si="52"/>
        <v>3382</v>
      </c>
      <c r="K143" s="94">
        <f t="shared" si="53"/>
        <v>0.1878888889</v>
      </c>
      <c r="L143" s="94">
        <f t="shared" si="54"/>
        <v>1.666666667</v>
      </c>
      <c r="P143" s="94"/>
    </row>
    <row r="144">
      <c r="A144" s="70"/>
      <c r="B144">
        <f t="shared" ref="B144:C144" si="57">B143</f>
        <v>10800</v>
      </c>
      <c r="C144">
        <f t="shared" si="57"/>
        <v>10318</v>
      </c>
      <c r="D144" s="70">
        <v>20000.0</v>
      </c>
      <c r="E144" s="115">
        <f t="shared" si="48"/>
        <v>0.2</v>
      </c>
      <c r="F144">
        <f t="shared" si="49"/>
        <v>4000</v>
      </c>
      <c r="G144">
        <f t="shared" ref="G144:H144" si="58">G143</f>
        <v>700</v>
      </c>
      <c r="H144">
        <f t="shared" si="58"/>
        <v>0</v>
      </c>
      <c r="I144">
        <f t="shared" si="51"/>
        <v>15300</v>
      </c>
      <c r="J144">
        <f t="shared" si="52"/>
        <v>4982</v>
      </c>
      <c r="K144" s="94">
        <f t="shared" si="53"/>
        <v>0.2491</v>
      </c>
      <c r="L144" s="94">
        <f t="shared" si="54"/>
        <v>1.851851852</v>
      </c>
      <c r="P144" s="94"/>
    </row>
    <row r="145">
      <c r="A145" s="70"/>
      <c r="B145">
        <f t="shared" ref="B145:C145" si="59">B144</f>
        <v>10800</v>
      </c>
      <c r="C145">
        <f t="shared" si="59"/>
        <v>10318</v>
      </c>
      <c r="D145" s="70">
        <v>22000.0</v>
      </c>
      <c r="E145" s="115">
        <f t="shared" si="48"/>
        <v>0.2</v>
      </c>
      <c r="F145">
        <f t="shared" si="49"/>
        <v>4400</v>
      </c>
      <c r="G145">
        <f t="shared" ref="G145:H145" si="60">G144</f>
        <v>700</v>
      </c>
      <c r="H145">
        <f t="shared" si="60"/>
        <v>0</v>
      </c>
      <c r="I145">
        <f t="shared" si="51"/>
        <v>16900</v>
      </c>
      <c r="J145">
        <f t="shared" si="52"/>
        <v>6582</v>
      </c>
      <c r="K145" s="94">
        <f t="shared" si="53"/>
        <v>0.2991818182</v>
      </c>
      <c r="L145" s="94">
        <f t="shared" si="54"/>
        <v>2.037037037</v>
      </c>
      <c r="P145" s="94"/>
    </row>
    <row r="146">
      <c r="A146" s="70"/>
      <c r="B146">
        <f t="shared" ref="B146:C146" si="61">B145</f>
        <v>10800</v>
      </c>
      <c r="C146">
        <f t="shared" si="61"/>
        <v>10318</v>
      </c>
      <c r="D146" s="70">
        <v>25000.0</v>
      </c>
      <c r="E146" s="115">
        <f t="shared" si="48"/>
        <v>0.2</v>
      </c>
      <c r="F146">
        <f t="shared" si="49"/>
        <v>5000</v>
      </c>
      <c r="G146">
        <f t="shared" ref="G146:H146" si="62">G145</f>
        <v>700</v>
      </c>
      <c r="H146">
        <f t="shared" si="62"/>
        <v>0</v>
      </c>
      <c r="I146">
        <f t="shared" si="51"/>
        <v>19300</v>
      </c>
      <c r="J146">
        <f t="shared" si="52"/>
        <v>8982</v>
      </c>
      <c r="K146" s="94">
        <f t="shared" si="53"/>
        <v>0.35928</v>
      </c>
      <c r="L146" s="94">
        <f t="shared" si="54"/>
        <v>2.314814815</v>
      </c>
      <c r="P146" s="94"/>
    </row>
    <row r="147">
      <c r="A147" s="70"/>
      <c r="B147">
        <f t="shared" ref="B147:C147" si="63">B146</f>
        <v>10800</v>
      </c>
      <c r="C147">
        <f t="shared" si="63"/>
        <v>10318</v>
      </c>
      <c r="D147" s="70">
        <v>26000.0</v>
      </c>
      <c r="E147" s="115">
        <f t="shared" si="48"/>
        <v>0.2</v>
      </c>
      <c r="F147">
        <f t="shared" si="49"/>
        <v>5200</v>
      </c>
      <c r="G147">
        <f t="shared" ref="G147:H147" si="64">G146</f>
        <v>700</v>
      </c>
      <c r="H147">
        <f t="shared" si="64"/>
        <v>0</v>
      </c>
      <c r="I147">
        <f t="shared" si="51"/>
        <v>20100</v>
      </c>
      <c r="J147">
        <f t="shared" si="52"/>
        <v>9782</v>
      </c>
      <c r="K147" s="94">
        <f t="shared" si="53"/>
        <v>0.3762307692</v>
      </c>
      <c r="L147" s="94">
        <f t="shared" si="54"/>
        <v>2.407407407</v>
      </c>
      <c r="P147" s="94"/>
    </row>
    <row r="150" ht="22.5" customHeight="1">
      <c r="A150" s="69" t="s">
        <v>158</v>
      </c>
      <c r="B150" s="69"/>
      <c r="D150" s="70" t="s">
        <v>32</v>
      </c>
      <c r="E150" s="70" t="s">
        <v>147</v>
      </c>
      <c r="F150" s="70" t="s">
        <v>148</v>
      </c>
      <c r="G150" s="70" t="s">
        <v>149</v>
      </c>
      <c r="H150" s="70" t="s">
        <v>150</v>
      </c>
      <c r="I150" s="70" t="s">
        <v>151</v>
      </c>
      <c r="J150" s="70" t="s">
        <v>152</v>
      </c>
      <c r="K150" s="70" t="s">
        <v>153</v>
      </c>
      <c r="L150" s="70" t="s">
        <v>154</v>
      </c>
      <c r="M150" s="70" t="s">
        <v>155</v>
      </c>
      <c r="P150" s="70"/>
    </row>
    <row r="151">
      <c r="A151" s="70"/>
      <c r="B151" s="70" t="s">
        <v>156</v>
      </c>
      <c r="C151" s="70" t="s">
        <v>117</v>
      </c>
      <c r="E151" s="70">
        <v>0.15</v>
      </c>
      <c r="G151" s="70">
        <v>600.0</v>
      </c>
      <c r="H151" s="70">
        <v>0.0</v>
      </c>
      <c r="I151" s="70"/>
      <c r="J151" s="70"/>
      <c r="K151" s="70"/>
      <c r="P151" s="70"/>
    </row>
    <row r="152">
      <c r="A152" s="70">
        <v>10000.0</v>
      </c>
      <c r="B152">
        <f>A152*1.08</f>
        <v>10800</v>
      </c>
      <c r="C152" s="114">
        <v>7876.000000000001</v>
      </c>
      <c r="D152" s="70">
        <v>12000.0</v>
      </c>
      <c r="E152" s="115">
        <f t="shared" ref="E152:E158" si="67">E151</f>
        <v>0.15</v>
      </c>
      <c r="F152">
        <f t="shared" ref="F152:F158" si="68">D152*E152</f>
        <v>1800</v>
      </c>
      <c r="G152">
        <f t="shared" ref="G152:H152" si="65">G151</f>
        <v>600</v>
      </c>
      <c r="H152">
        <f t="shared" si="65"/>
        <v>0</v>
      </c>
      <c r="I152">
        <f t="shared" ref="I152:I158" si="70">D152-F152-G152-H152</f>
        <v>9600</v>
      </c>
      <c r="J152">
        <f t="shared" ref="J152:J158" si="71">I152-C152</f>
        <v>1724</v>
      </c>
      <c r="K152" s="94">
        <f t="shared" ref="K152:K158" si="72">J152/D152</f>
        <v>0.1436666667</v>
      </c>
      <c r="L152" s="94">
        <f t="shared" ref="L152:L158" si="73">D152/B152</f>
        <v>1.111111111</v>
      </c>
      <c r="P152" s="94"/>
    </row>
    <row r="153">
      <c r="A153" s="116"/>
      <c r="B153">
        <f t="shared" ref="B153:C153" si="66">B152</f>
        <v>10800</v>
      </c>
      <c r="C153">
        <f t="shared" si="66"/>
        <v>7876</v>
      </c>
      <c r="D153" s="70">
        <v>12500.0</v>
      </c>
      <c r="E153" s="115">
        <f t="shared" si="67"/>
        <v>0.15</v>
      </c>
      <c r="F153">
        <f t="shared" si="68"/>
        <v>1875</v>
      </c>
      <c r="G153">
        <f t="shared" ref="G153:H153" si="69">G152</f>
        <v>600</v>
      </c>
      <c r="H153">
        <f t="shared" si="69"/>
        <v>0</v>
      </c>
      <c r="I153">
        <f t="shared" si="70"/>
        <v>10025</v>
      </c>
      <c r="J153">
        <f t="shared" si="71"/>
        <v>2149</v>
      </c>
      <c r="K153" s="94">
        <f t="shared" si="72"/>
        <v>0.17192</v>
      </c>
      <c r="L153" s="94">
        <f t="shared" si="73"/>
        <v>1.157407407</v>
      </c>
      <c r="P153" s="94"/>
    </row>
    <row r="154">
      <c r="A154" s="114"/>
      <c r="B154">
        <f t="shared" ref="B154:C154" si="74">B153</f>
        <v>10800</v>
      </c>
      <c r="C154">
        <f t="shared" si="74"/>
        <v>7876</v>
      </c>
      <c r="D154" s="70">
        <v>13000.0</v>
      </c>
      <c r="E154" s="115">
        <f t="shared" si="67"/>
        <v>0.15</v>
      </c>
      <c r="F154">
        <f t="shared" si="68"/>
        <v>1950</v>
      </c>
      <c r="G154">
        <f t="shared" ref="G154:H154" si="75">G153</f>
        <v>600</v>
      </c>
      <c r="H154">
        <f t="shared" si="75"/>
        <v>0</v>
      </c>
      <c r="I154">
        <f t="shared" si="70"/>
        <v>10450</v>
      </c>
      <c r="J154">
        <f t="shared" si="71"/>
        <v>2574</v>
      </c>
      <c r="K154" s="94">
        <f t="shared" si="72"/>
        <v>0.198</v>
      </c>
      <c r="L154" s="94">
        <f t="shared" si="73"/>
        <v>1.203703704</v>
      </c>
      <c r="P154" s="94"/>
    </row>
    <row r="155">
      <c r="A155" s="114"/>
      <c r="B155">
        <f t="shared" ref="B155:C155" si="76">B154</f>
        <v>10800</v>
      </c>
      <c r="C155">
        <f t="shared" si="76"/>
        <v>7876</v>
      </c>
      <c r="D155" s="70">
        <v>13500.0</v>
      </c>
      <c r="E155" s="115">
        <f t="shared" si="67"/>
        <v>0.15</v>
      </c>
      <c r="F155">
        <f t="shared" si="68"/>
        <v>2025</v>
      </c>
      <c r="G155">
        <f t="shared" ref="G155:H155" si="77">G154</f>
        <v>600</v>
      </c>
      <c r="H155">
        <f t="shared" si="77"/>
        <v>0</v>
      </c>
      <c r="I155">
        <f t="shared" si="70"/>
        <v>10875</v>
      </c>
      <c r="J155">
        <f t="shared" si="71"/>
        <v>2999</v>
      </c>
      <c r="K155" s="94">
        <f t="shared" si="72"/>
        <v>0.2221481481</v>
      </c>
      <c r="L155" s="94">
        <f t="shared" si="73"/>
        <v>1.25</v>
      </c>
      <c r="P155" s="94"/>
    </row>
    <row r="156">
      <c r="A156" s="114"/>
      <c r="B156">
        <f t="shared" ref="B156:C156" si="78">B155</f>
        <v>10800</v>
      </c>
      <c r="C156">
        <f t="shared" si="78"/>
        <v>7876</v>
      </c>
      <c r="D156" s="70">
        <v>14000.0</v>
      </c>
      <c r="E156" s="115">
        <f t="shared" si="67"/>
        <v>0.15</v>
      </c>
      <c r="F156">
        <f t="shared" si="68"/>
        <v>2100</v>
      </c>
      <c r="G156">
        <f t="shared" ref="G156:H156" si="79">G155</f>
        <v>600</v>
      </c>
      <c r="H156">
        <f t="shared" si="79"/>
        <v>0</v>
      </c>
      <c r="I156">
        <f t="shared" si="70"/>
        <v>11300</v>
      </c>
      <c r="J156">
        <f t="shared" si="71"/>
        <v>3424</v>
      </c>
      <c r="K156" s="94">
        <f t="shared" si="72"/>
        <v>0.2445714286</v>
      </c>
      <c r="L156" s="94">
        <f t="shared" si="73"/>
        <v>1.296296296</v>
      </c>
      <c r="P156" s="94"/>
    </row>
    <row r="157">
      <c r="A157" s="114"/>
      <c r="B157">
        <f t="shared" ref="B157:C157" si="80">B156</f>
        <v>10800</v>
      </c>
      <c r="C157">
        <f t="shared" si="80"/>
        <v>7876</v>
      </c>
      <c r="D157" s="70">
        <v>14500.0</v>
      </c>
      <c r="E157" s="115">
        <f t="shared" si="67"/>
        <v>0.15</v>
      </c>
      <c r="F157">
        <f t="shared" si="68"/>
        <v>2175</v>
      </c>
      <c r="G157">
        <f t="shared" ref="G157:H157" si="81">G156</f>
        <v>600</v>
      </c>
      <c r="H157">
        <f t="shared" si="81"/>
        <v>0</v>
      </c>
      <c r="I157">
        <f t="shared" si="70"/>
        <v>11725</v>
      </c>
      <c r="J157">
        <f t="shared" si="71"/>
        <v>3849</v>
      </c>
      <c r="K157" s="94">
        <f t="shared" si="72"/>
        <v>0.2654482759</v>
      </c>
      <c r="L157" s="94">
        <f t="shared" si="73"/>
        <v>1.342592593</v>
      </c>
      <c r="P157" s="94"/>
    </row>
    <row r="158">
      <c r="A158" s="114"/>
      <c r="B158">
        <f t="shared" ref="B158:C158" si="82">B157</f>
        <v>10800</v>
      </c>
      <c r="C158">
        <f t="shared" si="82"/>
        <v>7876</v>
      </c>
      <c r="D158" s="70">
        <v>15000.0</v>
      </c>
      <c r="E158" s="115">
        <f t="shared" si="67"/>
        <v>0.15</v>
      </c>
      <c r="F158">
        <f t="shared" si="68"/>
        <v>2250</v>
      </c>
      <c r="G158">
        <f t="shared" ref="G158:H158" si="83">G157</f>
        <v>600</v>
      </c>
      <c r="H158">
        <f t="shared" si="83"/>
        <v>0</v>
      </c>
      <c r="I158">
        <f t="shared" si="70"/>
        <v>12150</v>
      </c>
      <c r="J158">
        <f t="shared" si="71"/>
        <v>4274</v>
      </c>
      <c r="K158" s="94">
        <f t="shared" si="72"/>
        <v>0.2849333333</v>
      </c>
      <c r="L158" s="94">
        <f t="shared" si="73"/>
        <v>1.388888889</v>
      </c>
      <c r="P158" s="94"/>
    </row>
    <row r="161" ht="22.5" customHeight="1">
      <c r="A161" s="69" t="s">
        <v>159</v>
      </c>
      <c r="B161" s="69"/>
      <c r="C161" s="117"/>
      <c r="D161" s="70" t="s">
        <v>32</v>
      </c>
      <c r="E161" s="70" t="s">
        <v>147</v>
      </c>
      <c r="F161" s="70" t="s">
        <v>148</v>
      </c>
      <c r="G161" s="70" t="s">
        <v>149</v>
      </c>
      <c r="H161" s="70" t="s">
        <v>150</v>
      </c>
      <c r="I161" s="70" t="s">
        <v>151</v>
      </c>
      <c r="J161" s="70" t="s">
        <v>152</v>
      </c>
      <c r="K161" s="70" t="s">
        <v>153</v>
      </c>
      <c r="L161" s="70" t="s">
        <v>154</v>
      </c>
      <c r="P161" s="70"/>
    </row>
    <row r="162">
      <c r="A162" s="70"/>
      <c r="B162" s="70" t="s">
        <v>156</v>
      </c>
      <c r="C162" s="70" t="s">
        <v>117</v>
      </c>
      <c r="E162" s="70" t="s">
        <v>160</v>
      </c>
      <c r="G162" s="70">
        <v>200.0</v>
      </c>
      <c r="H162" s="70">
        <v>0.0</v>
      </c>
      <c r="I162" s="70"/>
      <c r="J162" s="70"/>
      <c r="K162" s="70"/>
      <c r="P162" s="70"/>
    </row>
    <row r="163">
      <c r="A163" s="70">
        <v>10000.0</v>
      </c>
      <c r="B163">
        <f>A163*1.08</f>
        <v>10800</v>
      </c>
      <c r="C163" s="114">
        <v>10318.0</v>
      </c>
      <c r="D163" s="108">
        <f t="shared" ref="D163:D169" si="85">B163*E163</f>
        <v>7560</v>
      </c>
      <c r="E163" s="118">
        <v>0.7</v>
      </c>
      <c r="G163">
        <f t="shared" ref="G163:G169" si="86">G162</f>
        <v>200</v>
      </c>
      <c r="H163" s="70">
        <v>0.0</v>
      </c>
      <c r="I163" s="109">
        <f t="shared" ref="I163:I169" si="87">D163-F163-G163-H163</f>
        <v>7360</v>
      </c>
      <c r="J163" s="109">
        <f t="shared" ref="J163:J169" si="88">I163-C163</f>
        <v>-2958</v>
      </c>
      <c r="K163" s="94">
        <f t="shared" ref="K163:K169" si="89">J163/D163</f>
        <v>-0.3912698413</v>
      </c>
      <c r="L163" s="94">
        <f t="shared" ref="L163:L169" si="90">D163/B163</f>
        <v>0.7</v>
      </c>
      <c r="P163" s="94"/>
    </row>
    <row r="164">
      <c r="A164" s="90"/>
      <c r="B164">
        <f t="shared" ref="B164:C164" si="84">B163</f>
        <v>10800</v>
      </c>
      <c r="C164">
        <f t="shared" si="84"/>
        <v>10318</v>
      </c>
      <c r="D164" s="108">
        <f t="shared" si="85"/>
        <v>7020</v>
      </c>
      <c r="E164" s="118">
        <v>0.65</v>
      </c>
      <c r="G164">
        <f t="shared" si="86"/>
        <v>200</v>
      </c>
      <c r="H164" s="70">
        <v>0.0</v>
      </c>
      <c r="I164" s="109">
        <f t="shared" si="87"/>
        <v>6820</v>
      </c>
      <c r="J164" s="109">
        <f t="shared" si="88"/>
        <v>-3498</v>
      </c>
      <c r="K164" s="94">
        <f t="shared" si="89"/>
        <v>-0.4982905983</v>
      </c>
      <c r="L164" s="94">
        <f t="shared" si="90"/>
        <v>0.65</v>
      </c>
      <c r="P164" s="94"/>
    </row>
    <row r="165">
      <c r="A165" s="70"/>
      <c r="B165">
        <f t="shared" ref="B165:C165" si="91">B164</f>
        <v>10800</v>
      </c>
      <c r="C165">
        <f t="shared" si="91"/>
        <v>10318</v>
      </c>
      <c r="D165" s="108">
        <f t="shared" si="85"/>
        <v>6480</v>
      </c>
      <c r="E165" s="118">
        <v>0.6</v>
      </c>
      <c r="G165">
        <f t="shared" si="86"/>
        <v>200</v>
      </c>
      <c r="H165" s="70">
        <v>0.0</v>
      </c>
      <c r="I165" s="109">
        <f t="shared" si="87"/>
        <v>6280</v>
      </c>
      <c r="J165" s="109">
        <f t="shared" si="88"/>
        <v>-4038</v>
      </c>
      <c r="K165" s="94">
        <f t="shared" si="89"/>
        <v>-0.6231481481</v>
      </c>
      <c r="L165" s="94">
        <f t="shared" si="90"/>
        <v>0.6</v>
      </c>
      <c r="P165" s="94"/>
    </row>
    <row r="166">
      <c r="A166" s="70"/>
      <c r="B166">
        <f t="shared" ref="B166:C166" si="92">B165</f>
        <v>10800</v>
      </c>
      <c r="C166">
        <f t="shared" si="92"/>
        <v>10318</v>
      </c>
      <c r="D166" s="108">
        <f t="shared" si="85"/>
        <v>5940</v>
      </c>
      <c r="E166" s="118">
        <v>0.55</v>
      </c>
      <c r="G166">
        <f t="shared" si="86"/>
        <v>200</v>
      </c>
      <c r="H166" s="70">
        <v>0.0</v>
      </c>
      <c r="I166" s="109">
        <f t="shared" si="87"/>
        <v>5740</v>
      </c>
      <c r="J166" s="109">
        <f t="shared" si="88"/>
        <v>-4578</v>
      </c>
      <c r="K166" s="94">
        <f t="shared" si="89"/>
        <v>-0.7707070707</v>
      </c>
      <c r="L166" s="94">
        <f t="shared" si="90"/>
        <v>0.55</v>
      </c>
      <c r="P166" s="94"/>
    </row>
    <row r="167">
      <c r="A167" s="70"/>
      <c r="B167">
        <f t="shared" ref="B167:C167" si="93">B166</f>
        <v>10800</v>
      </c>
      <c r="C167">
        <f t="shared" si="93"/>
        <v>10318</v>
      </c>
      <c r="D167" s="108">
        <f t="shared" si="85"/>
        <v>5400</v>
      </c>
      <c r="E167" s="118">
        <v>0.5</v>
      </c>
      <c r="G167">
        <f t="shared" si="86"/>
        <v>200</v>
      </c>
      <c r="H167">
        <f t="shared" ref="H167:H169" si="95">H166</f>
        <v>0</v>
      </c>
      <c r="I167" s="109">
        <f t="shared" si="87"/>
        <v>5200</v>
      </c>
      <c r="J167" s="109">
        <f t="shared" si="88"/>
        <v>-5118</v>
      </c>
      <c r="K167" s="94">
        <f t="shared" si="89"/>
        <v>-0.9477777778</v>
      </c>
      <c r="L167" s="94">
        <f t="shared" si="90"/>
        <v>0.5</v>
      </c>
      <c r="P167" s="94"/>
    </row>
    <row r="168">
      <c r="A168" s="70"/>
      <c r="B168">
        <f t="shared" ref="B168:C168" si="94">B167</f>
        <v>10800</v>
      </c>
      <c r="C168">
        <f t="shared" si="94"/>
        <v>10318</v>
      </c>
      <c r="D168" s="108">
        <f t="shared" si="85"/>
        <v>4860</v>
      </c>
      <c r="E168" s="118">
        <v>0.45</v>
      </c>
      <c r="G168">
        <f t="shared" si="86"/>
        <v>200</v>
      </c>
      <c r="H168">
        <f t="shared" si="95"/>
        <v>0</v>
      </c>
      <c r="I168" s="109">
        <f t="shared" si="87"/>
        <v>4660</v>
      </c>
      <c r="J168" s="109">
        <f t="shared" si="88"/>
        <v>-5658</v>
      </c>
      <c r="K168" s="94">
        <f t="shared" si="89"/>
        <v>-1.164197531</v>
      </c>
      <c r="L168" s="94">
        <f t="shared" si="90"/>
        <v>0.45</v>
      </c>
      <c r="P168" s="94"/>
    </row>
    <row r="169">
      <c r="A169" s="70"/>
      <c r="B169">
        <f t="shared" ref="B169:C169" si="96">B168</f>
        <v>10800</v>
      </c>
      <c r="C169">
        <f t="shared" si="96"/>
        <v>10318</v>
      </c>
      <c r="D169" s="108">
        <f t="shared" si="85"/>
        <v>4320</v>
      </c>
      <c r="E169" s="118">
        <v>0.4</v>
      </c>
      <c r="G169">
        <f t="shared" si="86"/>
        <v>200</v>
      </c>
      <c r="H169">
        <f t="shared" si="95"/>
        <v>0</v>
      </c>
      <c r="I169" s="109">
        <f t="shared" si="87"/>
        <v>4120</v>
      </c>
      <c r="J169" s="109">
        <f t="shared" si="88"/>
        <v>-6198</v>
      </c>
      <c r="K169" s="94">
        <f t="shared" si="89"/>
        <v>-1.434722222</v>
      </c>
      <c r="L169" s="94">
        <f t="shared" si="90"/>
        <v>0.4</v>
      </c>
      <c r="P169" s="94"/>
    </row>
  </sheetData>
  <mergeCells count="35">
    <mergeCell ref="B2:H3"/>
    <mergeCell ref="B5:B6"/>
    <mergeCell ref="C5:D6"/>
    <mergeCell ref="F5:F6"/>
    <mergeCell ref="G5:H6"/>
    <mergeCell ref="C13:D13"/>
    <mergeCell ref="G13:H13"/>
    <mergeCell ref="B16:B17"/>
    <mergeCell ref="C16:D17"/>
    <mergeCell ref="F16:F17"/>
    <mergeCell ref="G16:H17"/>
    <mergeCell ref="C24:D24"/>
    <mergeCell ref="G24:H24"/>
    <mergeCell ref="B28:E29"/>
    <mergeCell ref="C33:D33"/>
    <mergeCell ref="G33:H33"/>
    <mergeCell ref="B34:C34"/>
    <mergeCell ref="F34:G34"/>
    <mergeCell ref="B36:B37"/>
    <mergeCell ref="F36:F37"/>
    <mergeCell ref="J54:J57"/>
    <mergeCell ref="B92:B97"/>
    <mergeCell ref="B98:F98"/>
    <mergeCell ref="B101:F101"/>
    <mergeCell ref="B105:E106"/>
    <mergeCell ref="B109:B115"/>
    <mergeCell ref="B118:B120"/>
    <mergeCell ref="B124:E125"/>
    <mergeCell ref="B61:E62"/>
    <mergeCell ref="B64:B70"/>
    <mergeCell ref="B71:E71"/>
    <mergeCell ref="B73:B81"/>
    <mergeCell ref="B82:F82"/>
    <mergeCell ref="B84:B89"/>
    <mergeCell ref="B90:F90"/>
  </mergeCells>
  <drawing r:id="rId1"/>
</worksheet>
</file>